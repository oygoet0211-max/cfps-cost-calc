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FPS_workflow\"/>
    </mc:Choice>
  </mc:AlternateContent>
  <bookViews>
    <workbookView xWindow="0" yWindow="0" windowWidth="19170" windowHeight="12150"/>
  </bookViews>
  <sheets>
    <sheet name="6X reaction buffer composition" sheetId="1" r:id="rId1"/>
    <sheet name="Reagent information" sheetId="2" r:id="rId2"/>
    <sheet name="Cell-free condition" sheetId="3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" l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J17" i="1" s="1"/>
  <c r="G17" i="1"/>
  <c r="I16" i="1"/>
  <c r="J16" i="1" s="1"/>
  <c r="F16" i="1"/>
  <c r="I15" i="1"/>
  <c r="J15" i="1" s="1"/>
  <c r="F15" i="1"/>
  <c r="I13" i="1"/>
  <c r="G13" i="1"/>
  <c r="F13" i="1"/>
  <c r="I12" i="1"/>
  <c r="G12" i="1"/>
  <c r="F12" i="1" s="1"/>
  <c r="I11" i="1"/>
  <c r="G11" i="1"/>
  <c r="F11" i="1" s="1"/>
  <c r="I10" i="1"/>
  <c r="J10" i="1" s="1"/>
  <c r="G10" i="1"/>
  <c r="F10" i="1" s="1"/>
  <c r="I9" i="1"/>
  <c r="J9" i="1" s="1"/>
  <c r="F9" i="1"/>
  <c r="I8" i="1"/>
  <c r="J8" i="1" s="1"/>
  <c r="F8" i="1"/>
  <c r="I7" i="1"/>
  <c r="J7" i="1" s="1"/>
  <c r="F7" i="1"/>
  <c r="I6" i="1"/>
  <c r="J6" i="1" s="1"/>
  <c r="F6" i="1"/>
  <c r="I5" i="1"/>
  <c r="J5" i="1" s="1"/>
  <c r="F5" i="1"/>
  <c r="J36" i="1" l="1"/>
</calcChain>
</file>

<file path=xl/sharedStrings.xml><?xml version="1.0" encoding="utf-8"?>
<sst xmlns="http://schemas.openxmlformats.org/spreadsheetml/2006/main" count="372" uniqueCount="259">
  <si>
    <t>cell extract final contain amount</t>
    <phoneticPr fontId="2" type="noConversion"/>
  </si>
  <si>
    <t>MW</t>
    <phoneticPr fontId="2" type="noConversion"/>
  </si>
  <si>
    <t>Final rxn Conc. (X1)</t>
    <phoneticPr fontId="2" type="noConversion"/>
  </si>
  <si>
    <t>비고</t>
    <phoneticPr fontId="2" type="noConversion"/>
  </si>
  <si>
    <t>Prep.</t>
    <phoneticPr fontId="2" type="noConversion"/>
  </si>
  <si>
    <t>Stock Conc.</t>
    <phoneticPr fontId="2" type="noConversion"/>
  </si>
  <si>
    <t>Mix Conc.</t>
    <phoneticPr fontId="2" type="noConversion"/>
  </si>
  <si>
    <t>5 mL</t>
    <phoneticPr fontId="2" type="noConversion"/>
  </si>
  <si>
    <t>Stock name</t>
    <phoneticPr fontId="2" type="noConversion"/>
  </si>
  <si>
    <t>Unit</t>
    <phoneticPr fontId="2" type="noConversion"/>
  </si>
  <si>
    <t>g/mol</t>
    <phoneticPr fontId="2" type="noConversion"/>
  </si>
  <si>
    <t>mM</t>
    <phoneticPr fontId="2" type="noConversion"/>
  </si>
  <si>
    <t>g/10 mL</t>
    <phoneticPr fontId="2" type="noConversion"/>
  </si>
  <si>
    <t>g/50 mL</t>
    <phoneticPr fontId="2" type="noConversion"/>
  </si>
  <si>
    <t>Stock mM</t>
    <phoneticPr fontId="2" type="noConversion"/>
  </si>
  <si>
    <t>uL</t>
    <phoneticPr fontId="2" type="noConversion"/>
  </si>
  <si>
    <t>3M Magnesium acetate</t>
    <phoneticPr fontId="2" type="noConversion"/>
  </si>
  <si>
    <t>Mg(Oac)2</t>
    <phoneticPr fontId="2" type="noConversion"/>
  </si>
  <si>
    <t xml:space="preserve"> - </t>
    <phoneticPr fontId="2" type="noConversion"/>
  </si>
  <si>
    <t>6M Ammonium acetate</t>
    <phoneticPr fontId="2" type="noConversion"/>
  </si>
  <si>
    <t>NH4(Oac)2</t>
    <phoneticPr fontId="2" type="noConversion"/>
  </si>
  <si>
    <t>4.5 M L-Glutamic acid potassium salt monohydrate</t>
    <phoneticPr fontId="2" type="noConversion"/>
  </si>
  <si>
    <t>K(Glu)</t>
    <phoneticPr fontId="2" type="noConversion"/>
  </si>
  <si>
    <t>2.4 M HEPES-KOH (pH7.5)</t>
    <phoneticPr fontId="2" type="noConversion"/>
  </si>
  <si>
    <t>HEPES-KOH (pH 7.5)</t>
    <phoneticPr fontId="2" type="noConversion"/>
  </si>
  <si>
    <t>880 mM DTT</t>
    <phoneticPr fontId="2" type="noConversion"/>
  </si>
  <si>
    <t>DTT</t>
    <phoneticPr fontId="2" type="noConversion"/>
  </si>
  <si>
    <t>Nucleotides stock solution (adjustment pH 7.0)</t>
    <phoneticPr fontId="2" type="noConversion"/>
  </si>
  <si>
    <t>ATP</t>
    <phoneticPr fontId="2" type="noConversion"/>
  </si>
  <si>
    <t>ATP, CMP, GMP, UMP 를 섞은 후, NaOH, HCl을 이용하여 pH 7.0 으로 조정</t>
    <phoneticPr fontId="2" type="noConversion"/>
  </si>
  <si>
    <t>CMP</t>
    <phoneticPr fontId="2" type="noConversion"/>
  </si>
  <si>
    <t>GMP</t>
    <phoneticPr fontId="2" type="noConversion"/>
  </si>
  <si>
    <t>UMP</t>
    <phoneticPr fontId="2" type="noConversion"/>
  </si>
  <si>
    <t>20 mg/mL Folinic acid calcuim salt hydrate</t>
    <phoneticPr fontId="2" type="noConversion"/>
  </si>
  <si>
    <t>Folinic acid (ug/mL)</t>
    <phoneticPr fontId="2" type="noConversion"/>
  </si>
  <si>
    <t>66.67 ug/mL</t>
    <phoneticPr fontId="2" type="noConversion"/>
  </si>
  <si>
    <t>20 mg/mL</t>
    <phoneticPr fontId="2" type="noConversion"/>
  </si>
  <si>
    <t>400 ug/mL</t>
    <phoneticPr fontId="2" type="noConversion"/>
  </si>
  <si>
    <t>* Folinic acid는 stock을 제조하여 보관하지 말고, premix 제조할 때마다 새로 만들어서 쓰는 것이 좋음. Solubility is 100 mg/mL in water</t>
    <phoneticPr fontId="2" type="noConversion"/>
  </si>
  <si>
    <t>3 M Cystein (Amino acid)</t>
    <phoneticPr fontId="2" type="noConversion"/>
  </si>
  <si>
    <t>Cystein</t>
    <phoneticPr fontId="2" type="noConversion"/>
  </si>
  <si>
    <t>2M Creatine phosphate (filtered)</t>
    <phoneticPr fontId="2" type="noConversion"/>
  </si>
  <si>
    <t>CP</t>
    <phoneticPr fontId="2" type="noConversion"/>
  </si>
  <si>
    <t>* CP는 필터 후 사용한다.</t>
    <phoneticPr fontId="2" type="noConversion"/>
  </si>
  <si>
    <t>100 mM Amino acids</t>
    <phoneticPr fontId="2" type="noConversion"/>
  </si>
  <si>
    <t>Alanine</t>
  </si>
  <si>
    <t>잘 녹지 않음, 분산 상태로 잘 섞어서 사용해야 함.</t>
    <phoneticPr fontId="2" type="noConversion"/>
  </si>
  <si>
    <t>Arginine</t>
  </si>
  <si>
    <t>Asparagine</t>
  </si>
  <si>
    <t>Aspartic acid</t>
  </si>
  <si>
    <t>Glutamic acid</t>
  </si>
  <si>
    <t>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</si>
  <si>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</si>
  <si>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</si>
  <si>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</si>
  <si>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</si>
  <si>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</si>
  <si>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</si>
  <si>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</si>
  <si>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</si>
  <si>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</si>
  <si>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</si>
  <si>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</si>
  <si>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</si>
  <si>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</si>
  <si>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Total (uL)</t>
    <phoneticPr fontId="2" type="noConversion"/>
  </si>
  <si>
    <t>40% PEG (20 g/50 mL)</t>
    <phoneticPr fontId="2" type="noConversion"/>
  </si>
  <si>
    <t>PEG</t>
    <phoneticPr fontId="2" type="noConversion"/>
  </si>
  <si>
    <t xml:space="preserve"> - </t>
  </si>
  <si>
    <t>20 g/50 mL</t>
    <phoneticPr fontId="2" type="noConversion"/>
  </si>
  <si>
    <t xml:space="preserve">PEG-8000 </t>
    <phoneticPr fontId="2" type="noConversion"/>
  </si>
  <si>
    <t>0.2% Creatine kinase (Energy regeneration)</t>
    <phoneticPr fontId="2" type="noConversion"/>
  </si>
  <si>
    <t>CK</t>
    <phoneticPr fontId="2" type="noConversion"/>
  </si>
  <si>
    <t>10 mg/ 5 mL</t>
    <phoneticPr fontId="2" type="noConversion"/>
  </si>
  <si>
    <t>2 mg/mL</t>
    <phoneticPr fontId="2" type="noConversion"/>
  </si>
  <si>
    <t>* 모든 stock -22℃ 보관 및 모든 시약은 autoclave한 3차 증류수로 만든다.</t>
    <phoneticPr fontId="2" type="noConversion"/>
  </si>
  <si>
    <t>400 uL</t>
    <phoneticPr fontId="2" type="noConversion"/>
  </si>
  <si>
    <t>600 uL</t>
    <phoneticPr fontId="2" type="noConversion"/>
  </si>
  <si>
    <t>720 uL</t>
    <phoneticPr fontId="2" type="noConversion"/>
  </si>
  <si>
    <t>60 uL</t>
    <phoneticPr fontId="2" type="noConversion"/>
  </si>
  <si>
    <t>Nucleotides stock solution</t>
    <phoneticPr fontId="2" type="noConversion"/>
  </si>
  <si>
    <t>100 uL</t>
    <phoneticPr fontId="2" type="noConversion"/>
  </si>
  <si>
    <t>900 uL</t>
    <phoneticPr fontId="2" type="noConversion"/>
  </si>
  <si>
    <t>1440 uL</t>
    <phoneticPr fontId="2" type="noConversion"/>
  </si>
  <si>
    <t>Total volume</t>
    <phoneticPr fontId="2" type="noConversion"/>
  </si>
  <si>
    <t xml:space="preserve">mix volume in 5 mL </t>
    <phoneticPr fontId="2" type="noConversion"/>
  </si>
  <si>
    <t>120 uL</t>
    <phoneticPr fontId="2" type="noConversion"/>
  </si>
  <si>
    <t>Stock 
for x6 rxn mixture</t>
    <phoneticPr fontId="2" type="noConversion"/>
  </si>
  <si>
    <t>5000 uL</t>
    <phoneticPr fontId="2" type="noConversion"/>
  </si>
  <si>
    <t>Stock solution</t>
    <phoneticPr fontId="2" type="noConversion"/>
  </si>
  <si>
    <t>6x reaction mixture Stock</t>
    <phoneticPr fontId="2" type="noConversion"/>
  </si>
  <si>
    <t>x6 reaction mixture
Stock</t>
    <phoneticPr fontId="2" type="noConversion"/>
  </si>
  <si>
    <t>Abbreviation</t>
    <phoneticPr fontId="2" type="noConversion"/>
  </si>
  <si>
    <t>Full name</t>
    <phoneticPr fontId="2" type="noConversion"/>
  </si>
  <si>
    <t>Purchase</t>
    <phoneticPr fontId="2" type="noConversion"/>
  </si>
  <si>
    <t>Cas No.</t>
    <phoneticPr fontId="2" type="noConversion"/>
  </si>
  <si>
    <t>보유 시약 g</t>
    <phoneticPr fontId="2" type="noConversion"/>
  </si>
  <si>
    <t>보관</t>
    <phoneticPr fontId="2" type="noConversion"/>
  </si>
  <si>
    <t>대체제품</t>
    <phoneticPr fontId="2" type="noConversion"/>
  </si>
  <si>
    <t>2-ME</t>
  </si>
  <si>
    <t>Tris OAc</t>
    <phoneticPr fontId="2" type="noConversion"/>
  </si>
  <si>
    <t>K(OAc)</t>
    <phoneticPr fontId="2" type="noConversion"/>
  </si>
  <si>
    <t>Potassium acetate</t>
    <phoneticPr fontId="2" type="noConversion"/>
  </si>
  <si>
    <t>Sigma (#P1190)</t>
    <phoneticPr fontId="2" type="noConversion"/>
  </si>
  <si>
    <t>127-08-2</t>
    <phoneticPr fontId="2" type="noConversion"/>
  </si>
  <si>
    <t>500G</t>
    <phoneticPr fontId="2" type="noConversion"/>
  </si>
  <si>
    <t>Magnesium acetate</t>
    <phoneticPr fontId="2" type="noConversion"/>
  </si>
  <si>
    <t>Sigma (#M5661)</t>
    <phoneticPr fontId="2" type="noConversion"/>
  </si>
  <si>
    <t>16674-78-5</t>
    <phoneticPr fontId="2" type="noConversion"/>
  </si>
  <si>
    <t>250 g</t>
    <phoneticPr fontId="2" type="noConversion"/>
  </si>
  <si>
    <t>NH4(Oac)</t>
    <phoneticPr fontId="2" type="noConversion"/>
  </si>
  <si>
    <t>Ammonium acetate</t>
    <phoneticPr fontId="2" type="noConversion"/>
  </si>
  <si>
    <t>Sigma (#238074)</t>
    <phoneticPr fontId="2" type="noConversion"/>
  </si>
  <si>
    <t>631-61-8</t>
    <phoneticPr fontId="2" type="noConversion"/>
  </si>
  <si>
    <t>L-Glutamic acid potassium salt monohydrate</t>
    <phoneticPr fontId="2" type="noConversion"/>
  </si>
  <si>
    <t>Sigma (#G1501)</t>
    <phoneticPr fontId="2" type="noConversion"/>
  </si>
  <si>
    <t>6382-01-0</t>
  </si>
  <si>
    <t>HEPES</t>
    <phoneticPr fontId="2" type="noConversion"/>
  </si>
  <si>
    <t>Sigma (#H3375)</t>
    <phoneticPr fontId="2" type="noConversion"/>
  </si>
  <si>
    <t>7365-45-9</t>
    <phoneticPr fontId="2" type="noConversion"/>
  </si>
  <si>
    <t>DTT</t>
  </si>
  <si>
    <t>DL-Dithiothreitol</t>
    <phoneticPr fontId="2" type="noConversion"/>
  </si>
  <si>
    <t>Sigma (#D0632)</t>
    <phoneticPr fontId="2" type="noConversion"/>
  </si>
  <si>
    <t>5G</t>
    <phoneticPr fontId="2" type="noConversion"/>
  </si>
  <si>
    <t>냉장</t>
    <phoneticPr fontId="2" type="noConversion"/>
  </si>
  <si>
    <t>ATP(adenosine-5'-triphosphate, sodium salt)</t>
    <phoneticPr fontId="2" type="noConversion"/>
  </si>
  <si>
    <t>Beams biotechnology (5401-03)</t>
    <phoneticPr fontId="2" type="noConversion"/>
  </si>
  <si>
    <t>987-65-5</t>
    <phoneticPr fontId="2" type="noConversion"/>
  </si>
  <si>
    <t>10G</t>
    <phoneticPr fontId="2" type="noConversion"/>
  </si>
  <si>
    <t>냉동</t>
    <phoneticPr fontId="2" type="noConversion"/>
  </si>
  <si>
    <t>액상 제품 사용이 quality control에 좋을 것. 추후 변경 가능. 
ATP (CAS No. 987-65-5), CTP(CAS No. 36051-68-0), GTP(CAS No. 36051-31-7), UTP(CAS No. 19817-92-6)
제품 제조사는 LAROVA, NEB, Thermo, enzynomics 등이 있음.</t>
    <phoneticPr fontId="2" type="noConversion"/>
  </si>
  <si>
    <t>Cytidine 5′-monophosphate disodium salt</t>
  </si>
  <si>
    <t>Sigma (#C1006)</t>
    <phoneticPr fontId="2" type="noConversion"/>
  </si>
  <si>
    <t>빔스바이오(5402-01) 제품 재고부족</t>
    <phoneticPr fontId="2" type="noConversion"/>
  </si>
  <si>
    <t>Guanosine 5′-monophosphate disodium salt hydrate</t>
  </si>
  <si>
    <t>Sigma (#G8377)</t>
    <phoneticPr fontId="2" type="noConversion"/>
  </si>
  <si>
    <t>상온</t>
    <phoneticPr fontId="2" type="noConversion"/>
  </si>
  <si>
    <t>빔스바이오(5403-01) 제품은 단종</t>
    <phoneticPr fontId="2" type="noConversion"/>
  </si>
  <si>
    <t>UMP(uridine-5′-monophosphate, sodium salt)</t>
  </si>
  <si>
    <t>Beams biotechnology (5401-01)</t>
    <phoneticPr fontId="2" type="noConversion"/>
  </si>
  <si>
    <t>Folinic acid</t>
  </si>
  <si>
    <t>Folinic acid calcuim salt hydrate</t>
    <phoneticPr fontId="2" type="noConversion"/>
  </si>
  <si>
    <t>Sigma (#F7878)</t>
    <phoneticPr fontId="2" type="noConversion"/>
  </si>
  <si>
    <t>1492-18-8</t>
  </si>
  <si>
    <t>Polyethylene glycol MW 8000</t>
    <phoneticPr fontId="2" type="noConversion"/>
  </si>
  <si>
    <t>Sigma (#1546605)</t>
    <phoneticPr fontId="2" type="noConversion"/>
  </si>
  <si>
    <t>1G</t>
  </si>
  <si>
    <t>Creatine phosphate</t>
    <phoneticPr fontId="2" type="noConversion"/>
  </si>
  <si>
    <t>Roche(10621722001)</t>
    <phoneticPr fontId="2" type="noConversion"/>
  </si>
  <si>
    <t>71519-72-7</t>
  </si>
  <si>
    <t>Creatine kinase</t>
    <phoneticPr fontId="2" type="noConversion"/>
  </si>
  <si>
    <t>Roche(10127566001)</t>
    <phoneticPr fontId="2" type="noConversion"/>
  </si>
  <si>
    <t>100㎎</t>
  </si>
  <si>
    <t>pH 6.0-7.0(reverse reaction)
pH 9.0(forward reaction)</t>
    <phoneticPr fontId="2" type="noConversion"/>
  </si>
  <si>
    <t>Amino acids</t>
    <phoneticPr fontId="2" type="noConversion"/>
  </si>
  <si>
    <t>Full name</t>
  </si>
  <si>
    <t>Purchase</t>
  </si>
  <si>
    <t>Cas No.</t>
  </si>
  <si>
    <t>MW</t>
  </si>
  <si>
    <t>보유 시약 g</t>
  </si>
  <si>
    <t>추가 설명</t>
    <phoneticPr fontId="2" type="noConversion"/>
  </si>
  <si>
    <t>L-Alanine</t>
  </si>
  <si>
    <t>Sigma(#A7627)</t>
    <phoneticPr fontId="2" type="noConversion"/>
  </si>
  <si>
    <t>56-41-7</t>
  </si>
  <si>
    <t>L-Arginine monohydrochloride</t>
  </si>
  <si>
    <t>Sigma(#A5131)</t>
    <phoneticPr fontId="2" type="noConversion"/>
  </si>
  <si>
    <t>1119-34-2</t>
    <phoneticPr fontId="2" type="noConversion"/>
  </si>
  <si>
    <t>L-Asparagine</t>
    <phoneticPr fontId="2" type="noConversion"/>
  </si>
  <si>
    <t>Sigma(#A0884)</t>
    <phoneticPr fontId="2" type="noConversion"/>
  </si>
  <si>
    <t>70-47-3</t>
  </si>
  <si>
    <t>Aspartic acid</t>
    <phoneticPr fontId="2" type="noConversion"/>
  </si>
  <si>
    <t>L-Aspartic acid</t>
  </si>
  <si>
    <t>Sigma(#A9256)</t>
    <phoneticPr fontId="2" type="noConversion"/>
  </si>
  <si>
    <t>56-84-8</t>
    <phoneticPr fontId="2" type="noConversion"/>
  </si>
  <si>
    <t>Cysteine</t>
    <phoneticPr fontId="2" type="noConversion"/>
  </si>
  <si>
    <t>L-Cysteine hydrochloride</t>
  </si>
  <si>
    <t>Sigma(#C1276)</t>
    <phoneticPr fontId="2" type="noConversion"/>
  </si>
  <si>
    <t>52-89-1</t>
    <phoneticPr fontId="2" type="noConversion"/>
  </si>
  <si>
    <t>Glutamic acid</t>
    <phoneticPr fontId="2" type="noConversion"/>
  </si>
  <si>
    <t>L-Glutamic acid potassium salt monohydrate</t>
  </si>
  <si>
    <t>Sigma(#G1149)</t>
    <phoneticPr fontId="2" type="noConversion"/>
  </si>
  <si>
    <t>100G</t>
    <phoneticPr fontId="2" type="noConversion"/>
  </si>
  <si>
    <t>Sigma(#G3126)</t>
    <phoneticPr fontId="2" type="noConversion"/>
  </si>
  <si>
    <t>56-85-9</t>
    <phoneticPr fontId="2" type="noConversion"/>
  </si>
  <si>
    <t>Glycine</t>
    <phoneticPr fontId="2" type="noConversion"/>
  </si>
  <si>
    <t>Sigma(#G7126)</t>
    <phoneticPr fontId="2" type="noConversion"/>
  </si>
  <si>
    <t>56-40-6</t>
  </si>
  <si>
    <t>Histidine</t>
    <phoneticPr fontId="2" type="noConversion"/>
  </si>
  <si>
    <t>Sigma(#H8000)</t>
    <phoneticPr fontId="2" type="noConversion"/>
  </si>
  <si>
    <t>71-00-1</t>
  </si>
  <si>
    <t>25G</t>
    <phoneticPr fontId="2" type="noConversion"/>
  </si>
  <si>
    <t>Isoleucine</t>
    <phoneticPr fontId="2" type="noConversion"/>
  </si>
  <si>
    <t>L-Isoleucine</t>
    <phoneticPr fontId="2" type="noConversion"/>
  </si>
  <si>
    <t>Sigma(#I2752)</t>
    <phoneticPr fontId="2" type="noConversion"/>
  </si>
  <si>
    <t>73-32-5</t>
    <phoneticPr fontId="2" type="noConversion"/>
  </si>
  <si>
    <t>Leucine</t>
    <phoneticPr fontId="2" type="noConversion"/>
  </si>
  <si>
    <t>Sigma(#L8000)</t>
    <phoneticPr fontId="2" type="noConversion"/>
  </si>
  <si>
    <t>61-90-5</t>
    <phoneticPr fontId="2" type="noConversion"/>
  </si>
  <si>
    <t>Lysine</t>
    <phoneticPr fontId="2" type="noConversion"/>
  </si>
  <si>
    <t>Sigma
(#L5626)</t>
    <phoneticPr fontId="2" type="noConversion"/>
  </si>
  <si>
    <t>657-27-2</t>
    <phoneticPr fontId="2" type="noConversion"/>
  </si>
  <si>
    <t>Methionine</t>
    <phoneticPr fontId="2" type="noConversion"/>
  </si>
  <si>
    <t>L-Methionine</t>
    <phoneticPr fontId="2" type="noConversion"/>
  </si>
  <si>
    <t>Sigma
(#M9625)</t>
    <phoneticPr fontId="2" type="noConversion"/>
  </si>
  <si>
    <t>63-68-3</t>
    <phoneticPr fontId="2" type="noConversion"/>
  </si>
  <si>
    <t>Phenylalanine</t>
    <phoneticPr fontId="2" type="noConversion"/>
  </si>
  <si>
    <t>L-Phenylalanine</t>
    <phoneticPr fontId="2" type="noConversion"/>
  </si>
  <si>
    <t>Sigma
(#P2126)</t>
    <phoneticPr fontId="2" type="noConversion"/>
  </si>
  <si>
    <t>63-91-2</t>
    <phoneticPr fontId="2" type="noConversion"/>
  </si>
  <si>
    <t>Proline</t>
    <phoneticPr fontId="2" type="noConversion"/>
  </si>
  <si>
    <t>L-Proline</t>
    <phoneticPr fontId="2" type="noConversion"/>
  </si>
  <si>
    <t>Sigma
(#P0380)</t>
    <phoneticPr fontId="2" type="noConversion"/>
  </si>
  <si>
    <t>147-85-3</t>
    <phoneticPr fontId="2" type="noConversion"/>
  </si>
  <si>
    <t>Serine</t>
    <phoneticPr fontId="2" type="noConversion"/>
  </si>
  <si>
    <t>L-Serine</t>
    <phoneticPr fontId="2" type="noConversion"/>
  </si>
  <si>
    <t>Sigma
(#S4500)</t>
    <phoneticPr fontId="2" type="noConversion"/>
  </si>
  <si>
    <t>56-45-1</t>
    <phoneticPr fontId="2" type="noConversion"/>
  </si>
  <si>
    <t>Threonine</t>
    <phoneticPr fontId="2" type="noConversion"/>
  </si>
  <si>
    <t>L-Threonine</t>
    <phoneticPr fontId="2" type="noConversion"/>
  </si>
  <si>
    <t>Sigma
(#T8625)</t>
    <phoneticPr fontId="2" type="noConversion"/>
  </si>
  <si>
    <t>72-19-5</t>
    <phoneticPr fontId="2" type="noConversion"/>
  </si>
  <si>
    <t>L-Tryptophan</t>
    <phoneticPr fontId="2" type="noConversion"/>
  </si>
  <si>
    <t>Sigma
(#T0254)</t>
    <phoneticPr fontId="2" type="noConversion"/>
  </si>
  <si>
    <t>73-22-3</t>
    <phoneticPr fontId="2" type="noConversion"/>
  </si>
  <si>
    <t>Tyrosine</t>
    <phoneticPr fontId="2" type="noConversion"/>
  </si>
  <si>
    <t>L-Tyrosine</t>
    <phoneticPr fontId="2" type="noConversion"/>
  </si>
  <si>
    <t>Sigma
(#93829)</t>
    <phoneticPr fontId="2" type="noConversion"/>
  </si>
  <si>
    <t>60-18-4</t>
    <phoneticPr fontId="2" type="noConversion"/>
  </si>
  <si>
    <t>Valine</t>
    <phoneticPr fontId="2" type="noConversion"/>
  </si>
  <si>
    <t>L-Valine</t>
    <phoneticPr fontId="2" type="noConversion"/>
  </si>
  <si>
    <t>Sigma
(#V0500)</t>
    <phoneticPr fontId="2" type="noConversion"/>
  </si>
  <si>
    <t>72-18-4</t>
    <phoneticPr fontId="2" type="noConversion"/>
  </si>
  <si>
    <t>Cell-free reaction composition</t>
    <phoneticPr fontId="2" type="noConversion"/>
  </si>
  <si>
    <t>DNA template</t>
    <phoneticPr fontId="2" type="noConversion"/>
  </si>
  <si>
    <t>10~500 ng</t>
    <phoneticPr fontId="2" type="noConversion"/>
  </si>
  <si>
    <t>6x reaction mixture stock</t>
    <phoneticPr fontId="2" type="noConversion"/>
  </si>
  <si>
    <t>40% PEG</t>
    <phoneticPr fontId="2" type="noConversion"/>
  </si>
  <si>
    <t>0.75 uL</t>
    <phoneticPr fontId="2" type="noConversion"/>
  </si>
  <si>
    <t>0.2% CK</t>
    <phoneticPr fontId="2" type="noConversion"/>
  </si>
  <si>
    <t>0.1 uL</t>
    <phoneticPr fontId="2" type="noConversion"/>
  </si>
  <si>
    <t>Cell extract (S12)</t>
    <phoneticPr fontId="2" type="noConversion"/>
  </si>
  <si>
    <t>4 uL</t>
    <phoneticPr fontId="2" type="noConversion"/>
  </si>
  <si>
    <t>NFW (nuclease free water)</t>
    <phoneticPr fontId="2" type="noConversion"/>
  </si>
  <si>
    <t>up to 15 uL</t>
    <phoneticPr fontId="2" type="noConversion"/>
  </si>
  <si>
    <t>Total</t>
    <phoneticPr fontId="2" type="noConversion"/>
  </si>
  <si>
    <t>15 uL</t>
    <phoneticPr fontId="2" type="noConversion"/>
  </si>
  <si>
    <t>384 clear bottom black well plate 이용 30℃ 반응.</t>
    <phoneticPr fontId="2" type="noConversion"/>
  </si>
  <si>
    <t>2-mercaptoethanol</t>
    <phoneticPr fontId="2" type="noConversion"/>
  </si>
  <si>
    <t>Sigma (#M3148)</t>
    <phoneticPr fontId="2" type="noConversion"/>
  </si>
  <si>
    <t>60-24-2</t>
    <phoneticPr fontId="2" type="noConversion"/>
  </si>
  <si>
    <t>25 mL</t>
    <phoneticPr fontId="2" type="noConversion"/>
  </si>
  <si>
    <t>Trizma base 이용 acetic acid로 pH보정</t>
    <phoneticPr fontId="2" type="noConversion"/>
  </si>
  <si>
    <t>Tris-acetate</t>
    <phoneticPr fontId="2" type="noConversion"/>
  </si>
  <si>
    <t>&lt; 충남대 김동명 교수님 protocol 참고 및 변경본 &gt;</t>
    <phoneticPr fontId="2" type="noConversion"/>
  </si>
  <si>
    <t>2.5 uL</t>
    <phoneticPr fontId="2" type="noConversion"/>
  </si>
  <si>
    <t>L-Glutamine</t>
    <phoneticPr fontId="2" type="noConversion"/>
  </si>
  <si>
    <t>L-Histidine</t>
    <phoneticPr fontId="2" type="noConversion"/>
  </si>
  <si>
    <t>L-Leucine</t>
    <phoneticPr fontId="2" type="noConversion"/>
  </si>
  <si>
    <t>L-Lysine monohydrochloride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</si>
</sst>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15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6"/>
      <color rgb="FF7030A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3" fillId="0" borderId="2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>
      <alignment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3" fillId="5" borderId="20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5" fillId="0" borderId="21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right" vertical="center"/>
    </xf>
    <xf numFmtId="0" fontId="3" fillId="5" borderId="21" xfId="0" applyFont="1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21" xfId="0" applyFont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right" vertical="center"/>
    </xf>
    <xf numFmtId="0" fontId="3" fillId="8" borderId="21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3" fillId="9" borderId="23" xfId="0" applyFont="1" applyFill="1" applyBorder="1" applyAlignment="1">
      <alignment horizontal="center" vertical="center"/>
    </xf>
    <xf numFmtId="0" fontId="8" fillId="0" borderId="24" xfId="0" applyFont="1" applyBorder="1">
      <alignment vertical="center"/>
    </xf>
    <xf numFmtId="0" fontId="6" fillId="0" borderId="25" xfId="0" applyFont="1" applyBorder="1">
      <alignment vertical="center"/>
    </xf>
    <xf numFmtId="0" fontId="3" fillId="6" borderId="24" xfId="0" applyFont="1" applyFill="1" applyBorder="1" applyAlignment="1">
      <alignment horizontal="center" vertical="center"/>
    </xf>
    <xf numFmtId="0" fontId="7" fillId="6" borderId="25" xfId="0" applyFont="1" applyFill="1" applyBorder="1">
      <alignment vertical="center"/>
    </xf>
    <xf numFmtId="176" fontId="6" fillId="0" borderId="2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3" borderId="24" xfId="0" applyFont="1" applyFill="1" applyBorder="1" applyAlignment="1">
      <alignment horizontal="right" vertical="center"/>
    </xf>
    <xf numFmtId="0" fontId="3" fillId="5" borderId="23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4" fillId="3" borderId="10" xfId="0" applyFont="1" applyFill="1" applyBorder="1" applyAlignment="1">
      <alignment horizontal="right" vertical="center"/>
    </xf>
    <xf numFmtId="0" fontId="4" fillId="3" borderId="10" xfId="0" applyFont="1" applyFill="1" applyBorder="1">
      <alignment vertical="center"/>
    </xf>
    <xf numFmtId="0" fontId="3" fillId="6" borderId="2" xfId="0" applyFont="1" applyFill="1" applyBorder="1">
      <alignment vertical="center"/>
    </xf>
    <xf numFmtId="0" fontId="3" fillId="6" borderId="5" xfId="0" applyFont="1" applyFill="1" applyBorder="1">
      <alignment vertical="center"/>
    </xf>
    <xf numFmtId="0" fontId="3" fillId="6" borderId="5" xfId="0" applyFont="1" applyFill="1" applyBorder="1" applyAlignment="1">
      <alignment horizontal="right" vertical="center"/>
    </xf>
    <xf numFmtId="0" fontId="6" fillId="7" borderId="1" xfId="0" applyFont="1" applyFill="1" applyBorder="1">
      <alignment vertical="center"/>
    </xf>
    <xf numFmtId="0" fontId="6" fillId="7" borderId="4" xfId="0" applyFont="1" applyFill="1" applyBorder="1">
      <alignment vertical="center"/>
    </xf>
    <xf numFmtId="0" fontId="6" fillId="7" borderId="4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76" fontId="6" fillId="11" borderId="1" xfId="0" applyNumberFormat="1" applyFont="1" applyFill="1" applyBorder="1">
      <alignment vertical="center"/>
    </xf>
    <xf numFmtId="176" fontId="6" fillId="11" borderId="6" xfId="0" applyNumberFormat="1" applyFont="1" applyFill="1" applyBorder="1" applyAlignment="1">
      <alignment horizontal="center" vertical="center"/>
    </xf>
    <xf numFmtId="0" fontId="6" fillId="11" borderId="7" xfId="0" applyFont="1" applyFill="1" applyBorder="1">
      <alignment vertical="center"/>
    </xf>
    <xf numFmtId="176" fontId="6" fillId="11" borderId="4" xfId="0" applyNumberFormat="1" applyFont="1" applyFill="1" applyBorder="1">
      <alignment vertical="center"/>
    </xf>
    <xf numFmtId="176" fontId="6" fillId="11" borderId="10" xfId="0" applyNumberFormat="1" applyFont="1" applyFill="1" applyBorder="1" applyAlignment="1">
      <alignment horizontal="center" vertical="center"/>
    </xf>
    <xf numFmtId="0" fontId="6" fillId="11" borderId="11" xfId="0" applyFont="1" applyFill="1" applyBorder="1">
      <alignment vertical="center"/>
    </xf>
    <xf numFmtId="176" fontId="6" fillId="11" borderId="4" xfId="0" applyNumberFormat="1" applyFont="1" applyFill="1" applyBorder="1" applyAlignment="1">
      <alignment horizontal="center" vertical="center"/>
    </xf>
    <xf numFmtId="176" fontId="6" fillId="11" borderId="10" xfId="0" applyNumberFormat="1" applyFont="1" applyFill="1" applyBorder="1">
      <alignment vertical="center"/>
    </xf>
    <xf numFmtId="2" fontId="6" fillId="11" borderId="10" xfId="0" applyNumberFormat="1" applyFont="1" applyFill="1" applyBorder="1">
      <alignment vertical="center"/>
    </xf>
    <xf numFmtId="0" fontId="6" fillId="11" borderId="11" xfId="0" applyFont="1" applyFill="1" applyBorder="1" applyAlignment="1">
      <alignment horizontal="right" vertical="center"/>
    </xf>
    <xf numFmtId="176" fontId="6" fillId="11" borderId="24" xfId="0" applyNumberFormat="1" applyFont="1" applyFill="1" applyBorder="1" applyAlignment="1">
      <alignment horizontal="center" vertical="center"/>
    </xf>
    <xf numFmtId="2" fontId="6" fillId="11" borderId="26" xfId="0" applyNumberFormat="1" applyFont="1" applyFill="1" applyBorder="1">
      <alignment vertical="center"/>
    </xf>
    <xf numFmtId="0" fontId="6" fillId="11" borderId="27" xfId="0" applyFont="1" applyFill="1" applyBorder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right" vertical="center"/>
    </xf>
    <xf numFmtId="0" fontId="6" fillId="11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6" borderId="15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right" vertical="center"/>
    </xf>
    <xf numFmtId="0" fontId="6" fillId="6" borderId="21" xfId="0" applyFont="1" applyFill="1" applyBorder="1" applyAlignment="1">
      <alignment horizontal="right" vertical="center"/>
    </xf>
    <xf numFmtId="0" fontId="6" fillId="0" borderId="2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6" borderId="20" xfId="0" applyFont="1" applyFill="1" applyBorder="1" applyAlignment="1">
      <alignment horizontal="right" vertical="center"/>
    </xf>
    <xf numFmtId="0" fontId="3" fillId="6" borderId="21" xfId="0" applyFont="1" applyFill="1" applyBorder="1" applyAlignment="1">
      <alignment horizontal="right" vertical="center"/>
    </xf>
    <xf numFmtId="0" fontId="3" fillId="6" borderId="22" xfId="0" applyFont="1" applyFill="1" applyBorder="1">
      <alignment vertical="center"/>
    </xf>
    <xf numFmtId="0" fontId="6" fillId="0" borderId="37" xfId="0" applyFont="1" applyBorder="1" applyAlignment="1">
      <alignment horizontal="center" vertical="center"/>
    </xf>
    <xf numFmtId="0" fontId="6" fillId="6" borderId="22" xfId="0" applyFont="1" applyFill="1" applyBorder="1" applyAlignment="1">
      <alignment horizontal="right" vertical="center"/>
    </xf>
    <xf numFmtId="0" fontId="10" fillId="10" borderId="15" xfId="0" applyFont="1" applyFill="1" applyBorder="1">
      <alignment vertical="center"/>
    </xf>
    <xf numFmtId="0" fontId="11" fillId="10" borderId="14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right" vertical="center"/>
    </xf>
    <xf numFmtId="0" fontId="12" fillId="0" borderId="10" xfId="0" applyFont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12" fillId="16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 wrapText="1"/>
    </xf>
    <xf numFmtId="0" fontId="12" fillId="17" borderId="10" xfId="0" applyFont="1" applyFill="1" applyBorder="1" applyAlignment="1">
      <alignment horizontal="center" vertical="center"/>
    </xf>
    <xf numFmtId="0" fontId="13" fillId="17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0" xfId="0" applyFont="1" applyFill="1" applyBorder="1">
      <alignment vertical="center"/>
    </xf>
    <xf numFmtId="0" fontId="1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9" fillId="14" borderId="33" xfId="0" applyFont="1" applyFill="1" applyBorder="1" applyAlignment="1">
      <alignment horizontal="center" vertical="center"/>
    </xf>
    <xf numFmtId="0" fontId="9" fillId="14" borderId="34" xfId="0" applyFont="1" applyFill="1" applyBorder="1" applyAlignment="1">
      <alignment horizontal="center" vertical="center"/>
    </xf>
    <xf numFmtId="0" fontId="9" fillId="14" borderId="3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right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topLeftCell="A7" zoomScale="55" zoomScaleNormal="55" workbookViewId="0">
      <selection activeCell="E45" sqref="E45"/>
    </sheetView>
  </sheetViews>
  <sheetFormatPr defaultRowHeight="16.5" x14ac:dyDescent="0.3"/>
  <cols>
    <col min="1" max="1" width="5.375" bestFit="1" customWidth="1"/>
    <col min="2" max="2" width="99.375" customWidth="1"/>
    <col min="3" max="3" width="28" bestFit="1" customWidth="1"/>
    <col min="4" max="4" width="8.875" bestFit="1" customWidth="1"/>
    <col min="5" max="5" width="23" bestFit="1" customWidth="1"/>
    <col min="6" max="7" width="10.875" bestFit="1" customWidth="1"/>
    <col min="8" max="8" width="15.75" bestFit="1" customWidth="1"/>
    <col min="9" max="9" width="13.25" bestFit="1" customWidth="1"/>
    <col min="10" max="10" width="7.375" customWidth="1"/>
    <col min="11" max="11" width="85.125" bestFit="1" customWidth="1"/>
  </cols>
  <sheetData>
    <row r="1" spans="1:11" ht="59.25" customHeight="1" thickBot="1" x14ac:dyDescent="0.35">
      <c r="A1" s="9"/>
      <c r="B1" s="111" t="s">
        <v>253</v>
      </c>
      <c r="C1" s="9"/>
      <c r="D1" s="112" t="s">
        <v>0</v>
      </c>
      <c r="E1" s="113"/>
      <c r="F1" s="11"/>
      <c r="G1" s="9"/>
      <c r="H1" s="9"/>
      <c r="I1" s="9"/>
      <c r="J1" s="9"/>
      <c r="K1" s="9"/>
    </row>
    <row r="2" spans="1:11" ht="69.75" customHeight="1" x14ac:dyDescent="0.3">
      <c r="A2" s="9"/>
      <c r="B2" s="10"/>
      <c r="C2" s="114"/>
      <c r="D2" s="116" t="s">
        <v>1</v>
      </c>
      <c r="E2" s="117" t="s">
        <v>2</v>
      </c>
      <c r="F2" s="119" t="s">
        <v>87</v>
      </c>
      <c r="G2" s="120"/>
      <c r="H2" s="121"/>
      <c r="I2" s="140" t="s">
        <v>91</v>
      </c>
      <c r="J2" s="141"/>
      <c r="K2" s="130" t="s">
        <v>3</v>
      </c>
    </row>
    <row r="3" spans="1:11" ht="21" thickBot="1" x14ac:dyDescent="0.35">
      <c r="A3" s="9"/>
      <c r="B3" s="8" t="s">
        <v>75</v>
      </c>
      <c r="C3" s="115"/>
      <c r="D3" s="116"/>
      <c r="E3" s="118"/>
      <c r="F3" s="72" t="s">
        <v>4</v>
      </c>
      <c r="G3" s="73" t="s">
        <v>4</v>
      </c>
      <c r="H3" s="74" t="s">
        <v>5</v>
      </c>
      <c r="I3" s="55" t="s">
        <v>6</v>
      </c>
      <c r="J3" s="56" t="s">
        <v>7</v>
      </c>
      <c r="K3" s="131"/>
    </row>
    <row r="4" spans="1:11" ht="21" thickBot="1" x14ac:dyDescent="0.35">
      <c r="A4" s="12"/>
      <c r="B4" s="3" t="s">
        <v>8</v>
      </c>
      <c r="C4" s="13" t="s">
        <v>9</v>
      </c>
      <c r="D4" s="14" t="s">
        <v>10</v>
      </c>
      <c r="E4" s="15" t="s">
        <v>11</v>
      </c>
      <c r="F4" s="75" t="s">
        <v>12</v>
      </c>
      <c r="G4" s="76" t="s">
        <v>13</v>
      </c>
      <c r="H4" s="77" t="s">
        <v>14</v>
      </c>
      <c r="I4" s="57" t="s">
        <v>11</v>
      </c>
      <c r="J4" s="58" t="s">
        <v>15</v>
      </c>
      <c r="K4" s="132"/>
    </row>
    <row r="5" spans="1:11" ht="20.25" x14ac:dyDescent="0.3">
      <c r="A5" s="16">
        <v>1</v>
      </c>
      <c r="B5" s="4" t="s">
        <v>16</v>
      </c>
      <c r="C5" s="17" t="s">
        <v>17</v>
      </c>
      <c r="D5" s="18">
        <v>214.45</v>
      </c>
      <c r="E5" s="19">
        <v>12</v>
      </c>
      <c r="F5" s="59">
        <f>D5*H5/1000/1000*10</f>
        <v>6.4334999999999996</v>
      </c>
      <c r="G5" s="60" t="s">
        <v>18</v>
      </c>
      <c r="H5" s="61">
        <v>3000</v>
      </c>
      <c r="I5" s="52">
        <f t="shared" ref="I5:I13" si="0">E5*6</f>
        <v>72</v>
      </c>
      <c r="J5" s="49">
        <f t="shared" ref="J5:J10" si="1">($I5*5000)/$H5</f>
        <v>120</v>
      </c>
      <c r="K5" s="20"/>
    </row>
    <row r="6" spans="1:11" ht="20.25" x14ac:dyDescent="0.3">
      <c r="A6" s="21">
        <v>2</v>
      </c>
      <c r="B6" s="5" t="s">
        <v>19</v>
      </c>
      <c r="C6" s="22" t="s">
        <v>20</v>
      </c>
      <c r="D6" s="23">
        <v>77.08</v>
      </c>
      <c r="E6" s="24">
        <v>80</v>
      </c>
      <c r="F6" s="62">
        <f>D6*H6/1000/1000*10</f>
        <v>4.6248000000000005</v>
      </c>
      <c r="G6" s="63" t="s">
        <v>18</v>
      </c>
      <c r="H6" s="64">
        <v>6000</v>
      </c>
      <c r="I6" s="53">
        <f t="shared" si="0"/>
        <v>480</v>
      </c>
      <c r="J6" s="50">
        <f t="shared" si="1"/>
        <v>400</v>
      </c>
      <c r="K6" s="25"/>
    </row>
    <row r="7" spans="1:11" ht="20.25" x14ac:dyDescent="0.3">
      <c r="A7" s="21">
        <v>3</v>
      </c>
      <c r="B7" s="5" t="s">
        <v>21</v>
      </c>
      <c r="C7" s="22" t="s">
        <v>22</v>
      </c>
      <c r="D7" s="23">
        <v>203.23</v>
      </c>
      <c r="E7" s="24">
        <v>90</v>
      </c>
      <c r="F7" s="62">
        <f>D7*H7/1000/1000*10</f>
        <v>9.1453500000000005</v>
      </c>
      <c r="G7" s="63" t="s">
        <v>18</v>
      </c>
      <c r="H7" s="64">
        <v>4500</v>
      </c>
      <c r="I7" s="53">
        <f t="shared" si="0"/>
        <v>540</v>
      </c>
      <c r="J7" s="50">
        <f t="shared" si="1"/>
        <v>600</v>
      </c>
      <c r="K7" s="25"/>
    </row>
    <row r="8" spans="1:11" ht="20.25" x14ac:dyDescent="0.3">
      <c r="A8" s="21">
        <v>4</v>
      </c>
      <c r="B8" s="5" t="s">
        <v>23</v>
      </c>
      <c r="C8" s="22" t="s">
        <v>24</v>
      </c>
      <c r="D8" s="23">
        <v>238.3</v>
      </c>
      <c r="E8" s="24">
        <v>57.6</v>
      </c>
      <c r="F8" s="62">
        <f>D8*H8/1000/1000*10</f>
        <v>5.7191999999999998</v>
      </c>
      <c r="G8" s="63" t="s">
        <v>18</v>
      </c>
      <c r="H8" s="64">
        <v>2400</v>
      </c>
      <c r="I8" s="53">
        <f t="shared" si="0"/>
        <v>345.6</v>
      </c>
      <c r="J8" s="50">
        <f t="shared" si="1"/>
        <v>720</v>
      </c>
      <c r="K8" s="25"/>
    </row>
    <row r="9" spans="1:11" ht="20.25" x14ac:dyDescent="0.3">
      <c r="A9" s="21">
        <v>5</v>
      </c>
      <c r="B9" s="5" t="s">
        <v>25</v>
      </c>
      <c r="C9" s="22" t="s">
        <v>26</v>
      </c>
      <c r="D9" s="23">
        <v>154.25</v>
      </c>
      <c r="E9" s="24">
        <v>1.76</v>
      </c>
      <c r="F9" s="62">
        <f>D9*H9/1000/1000*10</f>
        <v>1.3573999999999999</v>
      </c>
      <c r="G9" s="63" t="s">
        <v>18</v>
      </c>
      <c r="H9" s="64">
        <v>880</v>
      </c>
      <c r="I9" s="53">
        <f t="shared" si="0"/>
        <v>10.56</v>
      </c>
      <c r="J9" s="50">
        <f t="shared" si="1"/>
        <v>60</v>
      </c>
      <c r="K9" s="25"/>
    </row>
    <row r="10" spans="1:11" ht="20.25" x14ac:dyDescent="0.3">
      <c r="A10" s="133">
        <v>6</v>
      </c>
      <c r="B10" s="134" t="s">
        <v>27</v>
      </c>
      <c r="C10" s="26" t="s">
        <v>28</v>
      </c>
      <c r="D10" s="23">
        <v>551.17999999999995</v>
      </c>
      <c r="E10" s="24">
        <v>1.4000000000000001</v>
      </c>
      <c r="F10" s="65">
        <f>G10/5</f>
        <v>0.385826</v>
      </c>
      <c r="G10" s="66">
        <f>((H10/1000)*(50/1000))*D10</f>
        <v>1.92913</v>
      </c>
      <c r="H10" s="64">
        <v>70</v>
      </c>
      <c r="I10" s="53">
        <f t="shared" si="0"/>
        <v>8.4</v>
      </c>
      <c r="J10" s="135">
        <f t="shared" si="1"/>
        <v>600</v>
      </c>
      <c r="K10" s="136" t="s">
        <v>29</v>
      </c>
    </row>
    <row r="11" spans="1:11" ht="20.25" x14ac:dyDescent="0.3">
      <c r="A11" s="133"/>
      <c r="B11" s="134"/>
      <c r="C11" s="26" t="s">
        <v>30</v>
      </c>
      <c r="D11" s="23">
        <v>367.16</v>
      </c>
      <c r="E11" s="24">
        <v>1</v>
      </c>
      <c r="F11" s="65">
        <f t="shared" ref="F11:F13" si="2">G11/5</f>
        <v>0.18358000000000005</v>
      </c>
      <c r="G11" s="66">
        <f>((H11/1000)*(50/1000))*D11</f>
        <v>0.91790000000000027</v>
      </c>
      <c r="H11" s="64">
        <v>50</v>
      </c>
      <c r="I11" s="53">
        <f t="shared" si="0"/>
        <v>6</v>
      </c>
      <c r="J11" s="135"/>
      <c r="K11" s="136"/>
    </row>
    <row r="12" spans="1:11" ht="20.25" x14ac:dyDescent="0.3">
      <c r="A12" s="133"/>
      <c r="B12" s="134"/>
      <c r="C12" s="26" t="s">
        <v>31</v>
      </c>
      <c r="D12" s="23">
        <v>407.18</v>
      </c>
      <c r="E12" s="24">
        <v>1</v>
      </c>
      <c r="F12" s="65">
        <f t="shared" si="2"/>
        <v>0.20359000000000002</v>
      </c>
      <c r="G12" s="66">
        <f>((H12/1000)*(50/1000))*D12</f>
        <v>1.0179500000000001</v>
      </c>
      <c r="H12" s="64">
        <v>50</v>
      </c>
      <c r="I12" s="53">
        <f t="shared" si="0"/>
        <v>6</v>
      </c>
      <c r="J12" s="135"/>
      <c r="K12" s="136"/>
    </row>
    <row r="13" spans="1:11" ht="20.25" x14ac:dyDescent="0.3">
      <c r="A13" s="133"/>
      <c r="B13" s="134"/>
      <c r="C13" s="26" t="s">
        <v>32</v>
      </c>
      <c r="D13" s="23">
        <v>324.18</v>
      </c>
      <c r="E13" s="24">
        <v>1</v>
      </c>
      <c r="F13" s="65">
        <f t="shared" si="2"/>
        <v>0.16209000000000004</v>
      </c>
      <c r="G13" s="67">
        <f>((H13/1000)*(50/1000))*D13</f>
        <v>0.81045000000000023</v>
      </c>
      <c r="H13" s="64">
        <v>50</v>
      </c>
      <c r="I13" s="53">
        <f t="shared" si="0"/>
        <v>6</v>
      </c>
      <c r="J13" s="135"/>
      <c r="K13" s="136"/>
    </row>
    <row r="14" spans="1:11" ht="40.5" x14ac:dyDescent="0.3">
      <c r="A14" s="21">
        <v>7</v>
      </c>
      <c r="B14" s="5" t="s">
        <v>33</v>
      </c>
      <c r="C14" s="22" t="s">
        <v>34</v>
      </c>
      <c r="D14" s="23">
        <v>511.5</v>
      </c>
      <c r="E14" s="27" t="s">
        <v>35</v>
      </c>
      <c r="F14" s="65" t="s">
        <v>18</v>
      </c>
      <c r="G14" s="63" t="s">
        <v>18</v>
      </c>
      <c r="H14" s="68" t="s">
        <v>36</v>
      </c>
      <c r="I14" s="54" t="s">
        <v>37</v>
      </c>
      <c r="J14" s="51">
        <v>100</v>
      </c>
      <c r="K14" s="20" t="s">
        <v>38</v>
      </c>
    </row>
    <row r="15" spans="1:11" ht="20.25" x14ac:dyDescent="0.3">
      <c r="A15" s="21">
        <v>8</v>
      </c>
      <c r="B15" s="5" t="s">
        <v>39</v>
      </c>
      <c r="C15" s="28" t="s">
        <v>40</v>
      </c>
      <c r="D15" s="23">
        <v>157.62</v>
      </c>
      <c r="E15" s="24">
        <v>6</v>
      </c>
      <c r="F15" s="62">
        <f>D15*H15/1000/1000*10</f>
        <v>4.7286000000000001</v>
      </c>
      <c r="G15" s="63" t="s">
        <v>18</v>
      </c>
      <c r="H15" s="64">
        <v>3000</v>
      </c>
      <c r="I15" s="53">
        <f t="shared" ref="I15:I35" si="3">E15*6</f>
        <v>36</v>
      </c>
      <c r="J15" s="50">
        <f>($I15*5000)/$H15</f>
        <v>60</v>
      </c>
      <c r="K15" s="25"/>
    </row>
    <row r="16" spans="1:11" ht="20.25" x14ac:dyDescent="0.3">
      <c r="A16" s="21">
        <v>9</v>
      </c>
      <c r="B16" s="5" t="s">
        <v>41</v>
      </c>
      <c r="C16" s="28" t="s">
        <v>42</v>
      </c>
      <c r="D16" s="23">
        <v>327.14</v>
      </c>
      <c r="E16" s="24">
        <v>60</v>
      </c>
      <c r="F16" s="62">
        <f>D16*H16/1000/1000*10</f>
        <v>6.5427999999999997</v>
      </c>
      <c r="G16" s="63" t="s">
        <v>18</v>
      </c>
      <c r="H16" s="64">
        <v>2000</v>
      </c>
      <c r="I16" s="53">
        <f t="shared" si="3"/>
        <v>360</v>
      </c>
      <c r="J16" s="50">
        <f>($I16*5000)/$H16</f>
        <v>900</v>
      </c>
      <c r="K16" s="20" t="s">
        <v>43</v>
      </c>
    </row>
    <row r="17" spans="1:11" ht="20.25" x14ac:dyDescent="0.3">
      <c r="A17" s="133">
        <v>10</v>
      </c>
      <c r="B17" s="134" t="s">
        <v>44</v>
      </c>
      <c r="C17" s="29" t="s">
        <v>45</v>
      </c>
      <c r="D17" s="23">
        <v>89.09</v>
      </c>
      <c r="E17" s="24">
        <v>2.4</v>
      </c>
      <c r="F17" s="65" t="s">
        <v>18</v>
      </c>
      <c r="G17" s="67">
        <f t="shared" ref="G17:G35" si="4">((H17/1000)*(50/1000))*D17</f>
        <v>0.22272500000000006</v>
      </c>
      <c r="H17" s="64">
        <v>50</v>
      </c>
      <c r="I17" s="53">
        <f t="shared" si="3"/>
        <v>14.399999999999999</v>
      </c>
      <c r="J17" s="135">
        <f>($I17*5000)/$H17</f>
        <v>1440</v>
      </c>
      <c r="K17" s="137" t="s">
        <v>46</v>
      </c>
    </row>
    <row r="18" spans="1:11" ht="20.25" x14ac:dyDescent="0.3">
      <c r="A18" s="133"/>
      <c r="B18" s="134"/>
      <c r="C18" s="29" t="s">
        <v>47</v>
      </c>
      <c r="D18" s="23">
        <v>210.66</v>
      </c>
      <c r="E18" s="24">
        <v>2.4</v>
      </c>
      <c r="F18" s="65" t="s">
        <v>18</v>
      </c>
      <c r="G18" s="67">
        <f t="shared" si="4"/>
        <v>0.52665000000000006</v>
      </c>
      <c r="H18" s="64">
        <v>50</v>
      </c>
      <c r="I18" s="53">
        <f t="shared" si="3"/>
        <v>14.399999999999999</v>
      </c>
      <c r="J18" s="135"/>
      <c r="K18" s="138"/>
    </row>
    <row r="19" spans="1:11" ht="20.25" x14ac:dyDescent="0.3">
      <c r="A19" s="133"/>
      <c r="B19" s="134"/>
      <c r="C19" s="29" t="s">
        <v>48</v>
      </c>
      <c r="D19" s="23">
        <v>132.12</v>
      </c>
      <c r="E19" s="24">
        <v>2.4</v>
      </c>
      <c r="F19" s="65" t="s">
        <v>18</v>
      </c>
      <c r="G19" s="67">
        <f t="shared" si="4"/>
        <v>0.33030000000000009</v>
      </c>
      <c r="H19" s="64">
        <v>50</v>
      </c>
      <c r="I19" s="53">
        <f t="shared" si="3"/>
        <v>14.399999999999999</v>
      </c>
      <c r="J19" s="135"/>
      <c r="K19" s="138"/>
    </row>
    <row r="20" spans="1:11" ht="20.25" x14ac:dyDescent="0.3">
      <c r="A20" s="133"/>
      <c r="B20" s="134"/>
      <c r="C20" s="29" t="s">
        <v>49</v>
      </c>
      <c r="D20" s="30">
        <v>133.1</v>
      </c>
      <c r="E20" s="24">
        <v>2.4</v>
      </c>
      <c r="F20" s="65" t="s">
        <v>18</v>
      </c>
      <c r="G20" s="67">
        <f t="shared" si="4"/>
        <v>0.33275000000000005</v>
      </c>
      <c r="H20" s="64">
        <v>50</v>
      </c>
      <c r="I20" s="53">
        <f t="shared" si="3"/>
        <v>14.399999999999999</v>
      </c>
      <c r="J20" s="135"/>
      <c r="K20" s="138"/>
    </row>
    <row r="21" spans="1:11" ht="20.25" x14ac:dyDescent="0.3">
      <c r="A21" s="133"/>
      <c r="B21" s="134"/>
      <c r="C21" s="29" t="s">
        <v>50</v>
      </c>
      <c r="D21" s="23">
        <v>203.23</v>
      </c>
      <c r="E21" s="24">
        <v>2.4</v>
      </c>
      <c r="F21" s="65" t="s">
        <v>18</v>
      </c>
      <c r="G21" s="67">
        <f t="shared" si="4"/>
        <v>0.50807500000000005</v>
      </c>
      <c r="H21" s="64">
        <v>50</v>
      </c>
      <c r="I21" s="53">
        <f t="shared" si="3"/>
        <v>14.399999999999999</v>
      </c>
      <c r="J21" s="135"/>
      <c r="K21" s="138"/>
    </row>
    <row r="22" spans="1:11" ht="20.25" x14ac:dyDescent="0.3">
      <c r="A22" s="133"/>
      <c r="B22" s="134"/>
      <c r="C22" s="29" t="s">
        <v>51</v>
      </c>
      <c r="D22" s="30">
        <v>146.13999999999999</v>
      </c>
      <c r="E22" s="24">
        <v>2.4</v>
      </c>
      <c r="F22" s="65" t="s">
        <v>18</v>
      </c>
      <c r="G22" s="67">
        <f t="shared" si="4"/>
        <v>0.36535000000000006</v>
      </c>
      <c r="H22" s="64">
        <v>50</v>
      </c>
      <c r="I22" s="53">
        <f t="shared" si="3"/>
        <v>14.399999999999999</v>
      </c>
      <c r="J22" s="135"/>
      <c r="K22" s="138"/>
    </row>
    <row r="23" spans="1:11" ht="20.25" x14ac:dyDescent="0.3">
      <c r="A23" s="133"/>
      <c r="B23" s="134"/>
      <c r="C23" s="29" t="s">
        <v>52</v>
      </c>
      <c r="D23" s="30">
        <v>75.069999999999993</v>
      </c>
      <c r="E23" s="24">
        <v>2.4</v>
      </c>
      <c r="F23" s="65" t="s">
        <v>18</v>
      </c>
      <c r="G23" s="67">
        <f t="shared" si="4"/>
        <v>0.18767500000000001</v>
      </c>
      <c r="H23" s="64">
        <v>50</v>
      </c>
      <c r="I23" s="53">
        <f t="shared" si="3"/>
        <v>14.399999999999999</v>
      </c>
      <c r="J23" s="135"/>
      <c r="K23" s="138"/>
    </row>
    <row r="24" spans="1:11" ht="20.25" x14ac:dyDescent="0.3">
      <c r="A24" s="133"/>
      <c r="B24" s="134"/>
      <c r="C24" s="29" t="s">
        <v>53</v>
      </c>
      <c r="D24" s="30">
        <v>155.15</v>
      </c>
      <c r="E24" s="24">
        <v>2.4</v>
      </c>
      <c r="F24" s="65" t="s">
        <v>18</v>
      </c>
      <c r="G24" s="67">
        <f t="shared" si="4"/>
        <v>0.38787500000000008</v>
      </c>
      <c r="H24" s="64">
        <v>50</v>
      </c>
      <c r="I24" s="53">
        <f t="shared" si="3"/>
        <v>14.399999999999999</v>
      </c>
      <c r="J24" s="135"/>
      <c r="K24" s="138"/>
    </row>
    <row r="25" spans="1:11" ht="20.25" x14ac:dyDescent="0.3">
      <c r="A25" s="133"/>
      <c r="B25" s="134"/>
      <c r="C25" s="29" t="s">
        <v>54</v>
      </c>
      <c r="D25" s="30">
        <v>131.16999999999999</v>
      </c>
      <c r="E25" s="24">
        <v>2.4</v>
      </c>
      <c r="F25" s="65" t="s">
        <v>18</v>
      </c>
      <c r="G25" s="67">
        <f t="shared" si="4"/>
        <v>0.32792500000000002</v>
      </c>
      <c r="H25" s="64">
        <v>50</v>
      </c>
      <c r="I25" s="53">
        <f t="shared" si="3"/>
        <v>14.399999999999999</v>
      </c>
      <c r="J25" s="135"/>
      <c r="K25" s="138"/>
    </row>
    <row r="26" spans="1:11" ht="20.25" x14ac:dyDescent="0.3">
      <c r="A26" s="133"/>
      <c r="B26" s="134"/>
      <c r="C26" s="29" t="s">
        <v>55</v>
      </c>
      <c r="D26" s="30">
        <v>131.16999999999999</v>
      </c>
      <c r="E26" s="24">
        <v>2.4</v>
      </c>
      <c r="F26" s="65" t="s">
        <v>18</v>
      </c>
      <c r="G26" s="67">
        <f t="shared" si="4"/>
        <v>0.32792500000000002</v>
      </c>
      <c r="H26" s="64">
        <v>50</v>
      </c>
      <c r="I26" s="53">
        <f t="shared" si="3"/>
        <v>14.399999999999999</v>
      </c>
      <c r="J26" s="135"/>
      <c r="K26" s="138"/>
    </row>
    <row r="27" spans="1:11" ht="20.25" x14ac:dyDescent="0.3">
      <c r="A27" s="133"/>
      <c r="B27" s="134"/>
      <c r="C27" s="29" t="s">
        <v>56</v>
      </c>
      <c r="D27" s="30">
        <v>182.65</v>
      </c>
      <c r="E27" s="24">
        <v>2.4</v>
      </c>
      <c r="F27" s="65" t="s">
        <v>18</v>
      </c>
      <c r="G27" s="67">
        <f t="shared" si="4"/>
        <v>0.45662500000000011</v>
      </c>
      <c r="H27" s="64">
        <v>50</v>
      </c>
      <c r="I27" s="53">
        <f t="shared" si="3"/>
        <v>14.399999999999999</v>
      </c>
      <c r="J27" s="135"/>
      <c r="K27" s="138"/>
    </row>
    <row r="28" spans="1:11" ht="20.25" x14ac:dyDescent="0.3">
      <c r="A28" s="133"/>
      <c r="B28" s="134"/>
      <c r="C28" s="29" t="s">
        <v>57</v>
      </c>
      <c r="D28" s="30">
        <v>149.21</v>
      </c>
      <c r="E28" s="24">
        <v>2.4</v>
      </c>
      <c r="F28" s="65" t="s">
        <v>18</v>
      </c>
      <c r="G28" s="67">
        <f t="shared" si="4"/>
        <v>0.37302500000000011</v>
      </c>
      <c r="H28" s="64">
        <v>50</v>
      </c>
      <c r="I28" s="53">
        <f t="shared" si="3"/>
        <v>14.399999999999999</v>
      </c>
      <c r="J28" s="135"/>
      <c r="K28" s="138"/>
    </row>
    <row r="29" spans="1:11" ht="20.25" x14ac:dyDescent="0.3">
      <c r="A29" s="133"/>
      <c r="B29" s="134"/>
      <c r="C29" s="29" t="s">
        <v>58</v>
      </c>
      <c r="D29" s="30">
        <v>165.19</v>
      </c>
      <c r="E29" s="24">
        <v>2.4</v>
      </c>
      <c r="F29" s="65" t="s">
        <v>18</v>
      </c>
      <c r="G29" s="67">
        <f t="shared" si="4"/>
        <v>0.41297500000000009</v>
      </c>
      <c r="H29" s="64">
        <v>50</v>
      </c>
      <c r="I29" s="53">
        <f t="shared" si="3"/>
        <v>14.399999999999999</v>
      </c>
      <c r="J29" s="135"/>
      <c r="K29" s="138"/>
    </row>
    <row r="30" spans="1:11" ht="20.25" x14ac:dyDescent="0.3">
      <c r="A30" s="133"/>
      <c r="B30" s="134"/>
      <c r="C30" s="29" t="s">
        <v>59</v>
      </c>
      <c r="D30" s="30">
        <v>115.13</v>
      </c>
      <c r="E30" s="24">
        <v>2.4</v>
      </c>
      <c r="F30" s="65" t="s">
        <v>18</v>
      </c>
      <c r="G30" s="67">
        <f t="shared" si="4"/>
        <v>0.28782500000000005</v>
      </c>
      <c r="H30" s="64">
        <v>50</v>
      </c>
      <c r="I30" s="53">
        <f t="shared" si="3"/>
        <v>14.399999999999999</v>
      </c>
      <c r="J30" s="135"/>
      <c r="K30" s="138"/>
    </row>
    <row r="31" spans="1:11" ht="20.25" x14ac:dyDescent="0.3">
      <c r="A31" s="133"/>
      <c r="B31" s="134"/>
      <c r="C31" s="29" t="s">
        <v>60</v>
      </c>
      <c r="D31" s="30">
        <v>105.09</v>
      </c>
      <c r="E31" s="24">
        <v>2.4</v>
      </c>
      <c r="F31" s="65" t="s">
        <v>18</v>
      </c>
      <c r="G31" s="67">
        <f t="shared" si="4"/>
        <v>0.26272500000000004</v>
      </c>
      <c r="H31" s="64">
        <v>50</v>
      </c>
      <c r="I31" s="53">
        <f t="shared" si="3"/>
        <v>14.399999999999999</v>
      </c>
      <c r="J31" s="135"/>
      <c r="K31" s="138"/>
    </row>
    <row r="32" spans="1:11" ht="20.25" x14ac:dyDescent="0.3">
      <c r="A32" s="133"/>
      <c r="B32" s="134"/>
      <c r="C32" s="29" t="s">
        <v>61</v>
      </c>
      <c r="D32" s="30">
        <v>119.12</v>
      </c>
      <c r="E32" s="24">
        <v>2.4</v>
      </c>
      <c r="F32" s="65" t="s">
        <v>18</v>
      </c>
      <c r="G32" s="67">
        <f t="shared" si="4"/>
        <v>0.29780000000000006</v>
      </c>
      <c r="H32" s="64">
        <v>50</v>
      </c>
      <c r="I32" s="53">
        <f t="shared" si="3"/>
        <v>14.399999999999999</v>
      </c>
      <c r="J32" s="135"/>
      <c r="K32" s="138"/>
    </row>
    <row r="33" spans="1:11" ht="20.25" x14ac:dyDescent="0.3">
      <c r="A33" s="133"/>
      <c r="B33" s="134"/>
      <c r="C33" s="29" t="s">
        <v>62</v>
      </c>
      <c r="D33" s="23">
        <v>204.23</v>
      </c>
      <c r="E33" s="24">
        <v>2.4</v>
      </c>
      <c r="F33" s="65" t="s">
        <v>18</v>
      </c>
      <c r="G33" s="67">
        <f t="shared" si="4"/>
        <v>0.51057500000000011</v>
      </c>
      <c r="H33" s="64">
        <v>50</v>
      </c>
      <c r="I33" s="53">
        <f t="shared" si="3"/>
        <v>14.399999999999999</v>
      </c>
      <c r="J33" s="135"/>
      <c r="K33" s="138"/>
    </row>
    <row r="34" spans="1:11" ht="20.25" x14ac:dyDescent="0.3">
      <c r="A34" s="133"/>
      <c r="B34" s="134"/>
      <c r="C34" s="29" t="s">
        <v>63</v>
      </c>
      <c r="D34" s="23">
        <v>181.19</v>
      </c>
      <c r="E34" s="24">
        <v>2.4</v>
      </c>
      <c r="F34" s="65" t="s">
        <v>18</v>
      </c>
      <c r="G34" s="67">
        <f t="shared" si="4"/>
        <v>0.45297500000000007</v>
      </c>
      <c r="H34" s="64">
        <v>50</v>
      </c>
      <c r="I34" s="53">
        <f t="shared" si="3"/>
        <v>14.399999999999999</v>
      </c>
      <c r="J34" s="135"/>
      <c r="K34" s="138"/>
    </row>
    <row r="35" spans="1:11" ht="21" thickBot="1" x14ac:dyDescent="0.35">
      <c r="A35" s="133"/>
      <c r="B35" s="134"/>
      <c r="C35" s="31" t="s">
        <v>64</v>
      </c>
      <c r="D35" s="32">
        <v>117.15</v>
      </c>
      <c r="E35" s="33">
        <v>2.4</v>
      </c>
      <c r="F35" s="69" t="s">
        <v>18</v>
      </c>
      <c r="G35" s="70">
        <f t="shared" si="4"/>
        <v>0.29287500000000005</v>
      </c>
      <c r="H35" s="71">
        <v>50</v>
      </c>
      <c r="I35" s="53">
        <f t="shared" si="3"/>
        <v>14.399999999999999</v>
      </c>
      <c r="J35" s="135"/>
      <c r="K35" s="139"/>
    </row>
    <row r="36" spans="1:11" ht="21" thickBot="1" x14ac:dyDescent="0.35">
      <c r="A36" s="21"/>
      <c r="B36" s="122"/>
      <c r="C36" s="123"/>
      <c r="D36" s="124"/>
      <c r="E36" s="124"/>
      <c r="F36" s="124"/>
      <c r="G36" s="124"/>
      <c r="H36" s="124"/>
      <c r="I36" s="34" t="s">
        <v>65</v>
      </c>
      <c r="J36" s="35">
        <f>SUM(J5:J35)</f>
        <v>5000</v>
      </c>
      <c r="K36" s="25"/>
    </row>
    <row r="37" spans="1:11" ht="20.25" x14ac:dyDescent="0.3">
      <c r="A37" s="21">
        <v>11</v>
      </c>
      <c r="B37" s="5" t="s">
        <v>66</v>
      </c>
      <c r="C37" s="17" t="s">
        <v>67</v>
      </c>
      <c r="D37" s="36" t="s">
        <v>18</v>
      </c>
      <c r="E37" s="37" t="s">
        <v>68</v>
      </c>
      <c r="F37" s="78" t="s">
        <v>68</v>
      </c>
      <c r="G37" s="78" t="s">
        <v>68</v>
      </c>
      <c r="H37" s="79" t="s">
        <v>69</v>
      </c>
      <c r="I37" s="38" t="s">
        <v>68</v>
      </c>
      <c r="J37" s="39" t="s">
        <v>68</v>
      </c>
      <c r="K37" s="25" t="s">
        <v>70</v>
      </c>
    </row>
    <row r="38" spans="1:11" ht="21" thickBot="1" x14ac:dyDescent="0.35">
      <c r="A38" s="40">
        <v>12</v>
      </c>
      <c r="B38" s="7" t="s">
        <v>71</v>
      </c>
      <c r="C38" s="41" t="s">
        <v>72</v>
      </c>
      <c r="D38" s="42" t="s">
        <v>68</v>
      </c>
      <c r="E38" s="43" t="s">
        <v>68</v>
      </c>
      <c r="F38" s="80" t="s">
        <v>68</v>
      </c>
      <c r="G38" s="80" t="s">
        <v>68</v>
      </c>
      <c r="H38" s="81" t="s">
        <v>73</v>
      </c>
      <c r="I38" s="43" t="s">
        <v>68</v>
      </c>
      <c r="J38" s="44" t="s">
        <v>68</v>
      </c>
      <c r="K38" s="45" t="s">
        <v>74</v>
      </c>
    </row>
    <row r="39" spans="1:11" ht="17.25" thickBot="1" x14ac:dyDescent="0.35"/>
    <row r="40" spans="1:11" ht="27" thickBot="1" x14ac:dyDescent="0.35">
      <c r="A40" s="125" t="s">
        <v>90</v>
      </c>
      <c r="B40" s="126"/>
      <c r="C40" s="127"/>
    </row>
    <row r="41" spans="1:11" ht="27" thickBot="1" x14ac:dyDescent="0.35">
      <c r="A41" s="128" t="s">
        <v>89</v>
      </c>
      <c r="B41" s="129"/>
      <c r="C41" s="85" t="s">
        <v>85</v>
      </c>
      <c r="D41" s="83"/>
      <c r="E41" s="82"/>
    </row>
    <row r="42" spans="1:11" ht="20.25" x14ac:dyDescent="0.3">
      <c r="A42" s="90">
        <v>1</v>
      </c>
      <c r="B42" s="88" t="s">
        <v>16</v>
      </c>
      <c r="C42" s="86" t="s">
        <v>86</v>
      </c>
      <c r="D42" s="84"/>
    </row>
    <row r="43" spans="1:11" ht="20.25" x14ac:dyDescent="0.3">
      <c r="A43" s="91">
        <v>2</v>
      </c>
      <c r="B43" s="89" t="s">
        <v>19</v>
      </c>
      <c r="C43" s="87" t="s">
        <v>76</v>
      </c>
    </row>
    <row r="44" spans="1:11" ht="20.25" x14ac:dyDescent="0.3">
      <c r="A44" s="91">
        <v>3</v>
      </c>
      <c r="B44" s="89" t="s">
        <v>21</v>
      </c>
      <c r="C44" s="87" t="s">
        <v>77</v>
      </c>
    </row>
    <row r="45" spans="1:11" ht="20.25" x14ac:dyDescent="0.3">
      <c r="A45" s="91">
        <v>4</v>
      </c>
      <c r="B45" s="89" t="s">
        <v>23</v>
      </c>
      <c r="C45" s="87" t="s">
        <v>78</v>
      </c>
    </row>
    <row r="46" spans="1:11" ht="20.25" x14ac:dyDescent="0.3">
      <c r="A46" s="91">
        <v>5</v>
      </c>
      <c r="B46" s="89" t="s">
        <v>25</v>
      </c>
      <c r="C46" s="87" t="s">
        <v>79</v>
      </c>
    </row>
    <row r="47" spans="1:11" ht="20.25" x14ac:dyDescent="0.3">
      <c r="A47" s="91">
        <v>6</v>
      </c>
      <c r="B47" s="89" t="s">
        <v>80</v>
      </c>
      <c r="C47" s="87" t="s">
        <v>77</v>
      </c>
    </row>
    <row r="48" spans="1:11" ht="20.25" x14ac:dyDescent="0.3">
      <c r="A48" s="91">
        <v>7</v>
      </c>
      <c r="B48" s="89" t="s">
        <v>33</v>
      </c>
      <c r="C48" s="87" t="s">
        <v>81</v>
      </c>
    </row>
    <row r="49" spans="1:3" ht="20.25" x14ac:dyDescent="0.3">
      <c r="A49" s="91">
        <v>8</v>
      </c>
      <c r="B49" s="89" t="s">
        <v>39</v>
      </c>
      <c r="C49" s="87" t="s">
        <v>79</v>
      </c>
    </row>
    <row r="50" spans="1:3" ht="20.25" x14ac:dyDescent="0.3">
      <c r="A50" s="91">
        <v>9</v>
      </c>
      <c r="B50" s="89" t="s">
        <v>41</v>
      </c>
      <c r="C50" s="87" t="s">
        <v>82</v>
      </c>
    </row>
    <row r="51" spans="1:3" ht="21" thickBot="1" x14ac:dyDescent="0.35">
      <c r="A51" s="92">
        <v>10</v>
      </c>
      <c r="B51" s="93" t="s">
        <v>44</v>
      </c>
      <c r="C51" s="94" t="s">
        <v>83</v>
      </c>
    </row>
    <row r="52" spans="1:3" ht="27" thickBot="1" x14ac:dyDescent="0.35">
      <c r="A52" s="95"/>
      <c r="B52" s="96" t="s">
        <v>84</v>
      </c>
      <c r="C52" s="97" t="s">
        <v>88</v>
      </c>
    </row>
    <row r="53" spans="1:3" ht="17.25" x14ac:dyDescent="0.3">
      <c r="A53" s="1"/>
      <c r="B53" s="2"/>
      <c r="C53" s="46"/>
    </row>
  </sheetData>
  <mergeCells count="18">
    <mergeCell ref="B36:H36"/>
    <mergeCell ref="A40:C40"/>
    <mergeCell ref="A41:B41"/>
    <mergeCell ref="K2:K4"/>
    <mergeCell ref="A10:A13"/>
    <mergeCell ref="B10:B13"/>
    <mergeCell ref="J10:J13"/>
    <mergeCell ref="K10:K13"/>
    <mergeCell ref="A17:A35"/>
    <mergeCell ref="B17:B35"/>
    <mergeCell ref="J17:J35"/>
    <mergeCell ref="K17:K35"/>
    <mergeCell ref="I2:J2"/>
    <mergeCell ref="D1:E1"/>
    <mergeCell ref="C2:C3"/>
    <mergeCell ref="D2:D3"/>
    <mergeCell ref="E2:E3"/>
    <mergeCell ref="F2:H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85" zoomScaleNormal="85" workbookViewId="0">
      <selection activeCell="C38" sqref="C38"/>
    </sheetView>
  </sheetViews>
  <sheetFormatPr defaultRowHeight="16.5" x14ac:dyDescent="0.3"/>
  <cols>
    <col min="1" max="1" width="3.5" bestFit="1" customWidth="1"/>
    <col min="2" max="2" width="11.875" bestFit="1" customWidth="1"/>
    <col min="3" max="3" width="44.625" bestFit="1" customWidth="1"/>
    <col min="4" max="4" width="26.75" bestFit="1" customWidth="1"/>
    <col min="5" max="5" width="9.75" bestFit="1" customWidth="1"/>
    <col min="6" max="6" width="6.75" bestFit="1" customWidth="1"/>
    <col min="7" max="7" width="10.25" bestFit="1" customWidth="1"/>
    <col min="8" max="8" width="14.125" bestFit="1" customWidth="1"/>
    <col min="9" max="9" width="43.875" bestFit="1" customWidth="1"/>
    <col min="10" max="10" width="54.125" customWidth="1"/>
  </cols>
  <sheetData>
    <row r="1" spans="1:10" x14ac:dyDescent="0.3">
      <c r="A1" s="98"/>
      <c r="B1" s="99" t="s">
        <v>92</v>
      </c>
      <c r="C1" s="99" t="s">
        <v>93</v>
      </c>
      <c r="D1" s="99" t="s">
        <v>94</v>
      </c>
      <c r="E1" s="99" t="s">
        <v>95</v>
      </c>
      <c r="F1" s="99" t="s">
        <v>1</v>
      </c>
      <c r="G1" s="99" t="s">
        <v>96</v>
      </c>
      <c r="H1" s="99" t="s">
        <v>97</v>
      </c>
      <c r="I1" s="99" t="s">
        <v>3</v>
      </c>
      <c r="J1" s="99" t="s">
        <v>98</v>
      </c>
    </row>
    <row r="2" spans="1:10" x14ac:dyDescent="0.3">
      <c r="A2" s="98"/>
      <c r="B2" s="98" t="s">
        <v>99</v>
      </c>
      <c r="C2" s="98" t="s">
        <v>247</v>
      </c>
      <c r="D2" s="98" t="s">
        <v>248</v>
      </c>
      <c r="E2" s="98" t="s">
        <v>249</v>
      </c>
      <c r="F2" s="98">
        <v>78.13</v>
      </c>
      <c r="G2" s="98" t="s">
        <v>250</v>
      </c>
      <c r="H2" s="98" t="s">
        <v>124</v>
      </c>
      <c r="I2" s="98"/>
      <c r="J2" s="100"/>
    </row>
    <row r="3" spans="1:10" x14ac:dyDescent="0.3">
      <c r="A3" s="98"/>
      <c r="B3" s="98" t="s">
        <v>100</v>
      </c>
      <c r="C3" s="98" t="s">
        <v>252</v>
      </c>
      <c r="D3" s="98"/>
      <c r="E3" s="98"/>
      <c r="F3" s="98"/>
      <c r="G3" s="98"/>
      <c r="H3" s="98"/>
      <c r="I3" s="98" t="s">
        <v>251</v>
      </c>
      <c r="J3" s="100"/>
    </row>
    <row r="4" spans="1:10" x14ac:dyDescent="0.3">
      <c r="A4" s="98"/>
      <c r="B4" s="98" t="s">
        <v>101</v>
      </c>
      <c r="C4" s="98" t="s">
        <v>102</v>
      </c>
      <c r="D4" s="98" t="s">
        <v>103</v>
      </c>
      <c r="E4" s="98" t="s">
        <v>104</v>
      </c>
      <c r="F4" s="98">
        <v>98.14</v>
      </c>
      <c r="G4" s="98" t="s">
        <v>105</v>
      </c>
      <c r="H4" s="98" t="s">
        <v>136</v>
      </c>
      <c r="I4" s="98"/>
      <c r="J4" s="100"/>
    </row>
    <row r="5" spans="1:10" x14ac:dyDescent="0.3">
      <c r="A5" s="98"/>
      <c r="B5" s="98" t="s">
        <v>17</v>
      </c>
      <c r="C5" s="101" t="s">
        <v>106</v>
      </c>
      <c r="D5" s="101" t="s">
        <v>107</v>
      </c>
      <c r="E5" s="98" t="s">
        <v>108</v>
      </c>
      <c r="F5" s="98">
        <v>214.45</v>
      </c>
      <c r="G5" s="98" t="s">
        <v>109</v>
      </c>
      <c r="H5" s="98" t="s">
        <v>136</v>
      </c>
      <c r="I5" s="98"/>
      <c r="J5" s="100"/>
    </row>
    <row r="6" spans="1:10" x14ac:dyDescent="0.3">
      <c r="A6" s="98"/>
      <c r="B6" s="98" t="s">
        <v>110</v>
      </c>
      <c r="C6" s="101" t="s">
        <v>111</v>
      </c>
      <c r="D6" s="101" t="s">
        <v>112</v>
      </c>
      <c r="E6" s="98" t="s">
        <v>113</v>
      </c>
      <c r="F6" s="98">
        <v>77.08</v>
      </c>
      <c r="G6" s="98"/>
      <c r="H6" s="98" t="s">
        <v>136</v>
      </c>
      <c r="I6" s="98"/>
      <c r="J6" s="100"/>
    </row>
    <row r="7" spans="1:10" x14ac:dyDescent="0.3">
      <c r="A7" s="98"/>
      <c r="B7" s="98" t="s">
        <v>22</v>
      </c>
      <c r="C7" s="101" t="s">
        <v>114</v>
      </c>
      <c r="D7" s="101" t="s">
        <v>115</v>
      </c>
      <c r="E7" s="98" t="s">
        <v>116</v>
      </c>
      <c r="F7" s="98">
        <v>203.23</v>
      </c>
      <c r="G7" s="98"/>
      <c r="H7" s="98" t="s">
        <v>136</v>
      </c>
      <c r="I7" s="98"/>
      <c r="J7" s="100"/>
    </row>
    <row r="8" spans="1:10" x14ac:dyDescent="0.3">
      <c r="A8" s="98"/>
      <c r="B8" s="101" t="s">
        <v>117</v>
      </c>
      <c r="C8" s="101" t="s">
        <v>117</v>
      </c>
      <c r="D8" s="102" t="s">
        <v>118</v>
      </c>
      <c r="E8" s="98" t="s">
        <v>119</v>
      </c>
      <c r="F8" s="98">
        <v>238.3</v>
      </c>
      <c r="G8" s="98"/>
      <c r="H8" s="98" t="s">
        <v>136</v>
      </c>
      <c r="I8" s="98" t="s">
        <v>24</v>
      </c>
      <c r="J8" s="100"/>
    </row>
    <row r="9" spans="1:10" x14ac:dyDescent="0.3">
      <c r="A9" s="98"/>
      <c r="B9" s="101" t="s">
        <v>120</v>
      </c>
      <c r="C9" s="101" t="s">
        <v>121</v>
      </c>
      <c r="D9" s="101" t="s">
        <v>122</v>
      </c>
      <c r="E9" s="103">
        <v>578517</v>
      </c>
      <c r="F9" s="98">
        <v>154.25</v>
      </c>
      <c r="G9" s="98" t="s">
        <v>123</v>
      </c>
      <c r="H9" s="98" t="s">
        <v>124</v>
      </c>
      <c r="I9" s="98"/>
      <c r="J9" s="100"/>
    </row>
    <row r="10" spans="1:10" x14ac:dyDescent="0.3">
      <c r="A10" s="98"/>
      <c r="B10" s="98" t="s">
        <v>28</v>
      </c>
      <c r="C10" s="98" t="s">
        <v>125</v>
      </c>
      <c r="D10" s="98" t="s">
        <v>126</v>
      </c>
      <c r="E10" s="98" t="s">
        <v>127</v>
      </c>
      <c r="F10" s="104">
        <v>551.17999999999995</v>
      </c>
      <c r="G10" s="98" t="s">
        <v>128</v>
      </c>
      <c r="H10" s="98" t="s">
        <v>129</v>
      </c>
      <c r="I10" s="98"/>
      <c r="J10" s="142" t="s">
        <v>130</v>
      </c>
    </row>
    <row r="11" spans="1:10" x14ac:dyDescent="0.3">
      <c r="A11" s="98"/>
      <c r="B11" s="98" t="s">
        <v>30</v>
      </c>
      <c r="C11" s="98" t="s">
        <v>131</v>
      </c>
      <c r="D11" s="98" t="s">
        <v>132</v>
      </c>
      <c r="E11" s="103">
        <v>1774143</v>
      </c>
      <c r="F11" s="98">
        <v>367.16</v>
      </c>
      <c r="G11" s="98" t="s">
        <v>123</v>
      </c>
      <c r="H11" s="98" t="s">
        <v>124</v>
      </c>
      <c r="I11" s="101" t="s">
        <v>133</v>
      </c>
      <c r="J11" s="142"/>
    </row>
    <row r="12" spans="1:10" x14ac:dyDescent="0.3">
      <c r="A12" s="98"/>
      <c r="B12" s="98" t="s">
        <v>31</v>
      </c>
      <c r="C12" s="101" t="s">
        <v>134</v>
      </c>
      <c r="D12" s="98" t="s">
        <v>135</v>
      </c>
      <c r="E12" s="103">
        <v>1333479</v>
      </c>
      <c r="F12" s="98">
        <v>407.18</v>
      </c>
      <c r="G12" s="98" t="s">
        <v>123</v>
      </c>
      <c r="H12" s="98" t="s">
        <v>136</v>
      </c>
      <c r="I12" s="101" t="s">
        <v>137</v>
      </c>
      <c r="J12" s="142"/>
    </row>
    <row r="13" spans="1:10" x14ac:dyDescent="0.3">
      <c r="A13" s="98"/>
      <c r="B13" s="98" t="s">
        <v>32</v>
      </c>
      <c r="C13" s="98" t="s">
        <v>138</v>
      </c>
      <c r="D13" s="98" t="s">
        <v>139</v>
      </c>
      <c r="E13" s="98" t="s">
        <v>18</v>
      </c>
      <c r="F13" s="98">
        <v>324.18</v>
      </c>
      <c r="G13" s="98" t="s">
        <v>123</v>
      </c>
      <c r="H13" s="98" t="s">
        <v>124</v>
      </c>
      <c r="I13" s="101"/>
      <c r="J13" s="142"/>
    </row>
    <row r="14" spans="1:10" x14ac:dyDescent="0.3">
      <c r="A14" s="98"/>
      <c r="B14" s="101" t="s">
        <v>140</v>
      </c>
      <c r="C14" s="101" t="s">
        <v>141</v>
      </c>
      <c r="D14" s="101" t="s">
        <v>142</v>
      </c>
      <c r="E14" s="98" t="s">
        <v>143</v>
      </c>
      <c r="F14" s="98">
        <v>511.5</v>
      </c>
      <c r="G14" s="98"/>
      <c r="H14" s="98" t="s">
        <v>136</v>
      </c>
      <c r="I14" s="98"/>
      <c r="J14" s="142"/>
    </row>
    <row r="15" spans="1:10" x14ac:dyDescent="0.3">
      <c r="A15" s="98"/>
      <c r="B15" s="98" t="s">
        <v>67</v>
      </c>
      <c r="C15" s="98" t="s">
        <v>144</v>
      </c>
      <c r="D15" s="98" t="s">
        <v>145</v>
      </c>
      <c r="E15" s="98"/>
      <c r="F15" s="98"/>
      <c r="G15" s="98" t="s">
        <v>146</v>
      </c>
      <c r="H15" s="98" t="s">
        <v>136</v>
      </c>
      <c r="I15" s="98"/>
      <c r="J15" s="100"/>
    </row>
    <row r="16" spans="1:10" x14ac:dyDescent="0.3">
      <c r="A16" s="98"/>
      <c r="B16" s="98" t="s">
        <v>42</v>
      </c>
      <c r="C16" s="98" t="s">
        <v>147</v>
      </c>
      <c r="D16" s="101" t="s">
        <v>148</v>
      </c>
      <c r="E16" s="98" t="s">
        <v>149</v>
      </c>
      <c r="F16" s="98">
        <v>327.14</v>
      </c>
      <c r="G16" s="98" t="s">
        <v>128</v>
      </c>
      <c r="H16" s="98" t="s">
        <v>136</v>
      </c>
      <c r="I16" s="98"/>
      <c r="J16" s="100"/>
    </row>
    <row r="17" spans="1:10" x14ac:dyDescent="0.3">
      <c r="A17" s="98"/>
      <c r="B17" s="98" t="s">
        <v>72</v>
      </c>
      <c r="C17" s="101" t="s">
        <v>150</v>
      </c>
      <c r="D17" s="104" t="s">
        <v>151</v>
      </c>
      <c r="E17" s="98" t="s">
        <v>18</v>
      </c>
      <c r="F17" s="98" t="s">
        <v>18</v>
      </c>
      <c r="G17" s="98" t="s">
        <v>152</v>
      </c>
      <c r="H17" s="98" t="s">
        <v>124</v>
      </c>
      <c r="I17" s="98" t="s">
        <v>153</v>
      </c>
      <c r="J17" s="100"/>
    </row>
    <row r="18" spans="1:10" x14ac:dyDescent="0.3">
      <c r="A18" s="105"/>
      <c r="B18" s="106" t="s">
        <v>154</v>
      </c>
      <c r="C18" s="106" t="s">
        <v>155</v>
      </c>
      <c r="D18" s="106" t="s">
        <v>156</v>
      </c>
      <c r="E18" s="106" t="s">
        <v>157</v>
      </c>
      <c r="F18" s="106" t="s">
        <v>158</v>
      </c>
      <c r="G18" s="106" t="s">
        <v>159</v>
      </c>
      <c r="H18" s="106" t="s">
        <v>97</v>
      </c>
      <c r="I18" s="106" t="s">
        <v>3</v>
      </c>
      <c r="J18" s="99" t="s">
        <v>160</v>
      </c>
    </row>
    <row r="19" spans="1:10" x14ac:dyDescent="0.3">
      <c r="A19" s="107">
        <v>1</v>
      </c>
      <c r="B19" s="98" t="s">
        <v>45</v>
      </c>
      <c r="C19" s="98" t="s">
        <v>161</v>
      </c>
      <c r="D19" s="102" t="s">
        <v>162</v>
      </c>
      <c r="E19" s="98" t="s">
        <v>163</v>
      </c>
      <c r="F19" s="98">
        <v>89.09</v>
      </c>
      <c r="G19" s="98"/>
      <c r="H19" s="98" t="s">
        <v>136</v>
      </c>
      <c r="I19" s="108"/>
      <c r="J19" s="100"/>
    </row>
    <row r="20" spans="1:10" x14ac:dyDescent="0.3">
      <c r="A20" s="107">
        <v>2</v>
      </c>
      <c r="B20" s="98" t="s">
        <v>47</v>
      </c>
      <c r="C20" s="98" t="s">
        <v>164</v>
      </c>
      <c r="D20" s="102" t="s">
        <v>165</v>
      </c>
      <c r="E20" s="102" t="s">
        <v>166</v>
      </c>
      <c r="F20" s="98">
        <v>210.66</v>
      </c>
      <c r="G20" s="98"/>
      <c r="H20" s="98" t="s">
        <v>136</v>
      </c>
      <c r="I20" s="108"/>
      <c r="J20" s="100"/>
    </row>
    <row r="21" spans="1:10" x14ac:dyDescent="0.3">
      <c r="A21" s="107">
        <v>3</v>
      </c>
      <c r="B21" s="98" t="s">
        <v>48</v>
      </c>
      <c r="C21" s="98" t="s">
        <v>167</v>
      </c>
      <c r="D21" s="98" t="s">
        <v>168</v>
      </c>
      <c r="E21" s="98" t="s">
        <v>169</v>
      </c>
      <c r="F21" s="98">
        <v>132.12</v>
      </c>
      <c r="G21" s="98"/>
      <c r="H21" s="98" t="s">
        <v>136</v>
      </c>
      <c r="I21" s="108"/>
      <c r="J21" s="100"/>
    </row>
    <row r="22" spans="1:10" x14ac:dyDescent="0.3">
      <c r="A22" s="107">
        <v>4</v>
      </c>
      <c r="B22" s="98" t="s">
        <v>170</v>
      </c>
      <c r="C22" s="98" t="s">
        <v>171</v>
      </c>
      <c r="D22" s="102" t="s">
        <v>172</v>
      </c>
      <c r="E22" s="102" t="s">
        <v>173</v>
      </c>
      <c r="F22" s="98">
        <v>133.1</v>
      </c>
      <c r="G22" s="98"/>
      <c r="H22" s="98" t="s">
        <v>136</v>
      </c>
      <c r="I22" s="108"/>
      <c r="J22" s="100"/>
    </row>
    <row r="23" spans="1:10" x14ac:dyDescent="0.3">
      <c r="A23" s="107">
        <v>5</v>
      </c>
      <c r="B23" s="98" t="s">
        <v>174</v>
      </c>
      <c r="C23" s="98" t="s">
        <v>175</v>
      </c>
      <c r="D23" s="102" t="s">
        <v>176</v>
      </c>
      <c r="E23" s="98" t="s">
        <v>177</v>
      </c>
      <c r="F23" s="98">
        <v>157.62</v>
      </c>
      <c r="G23" s="98"/>
      <c r="H23" s="98" t="s">
        <v>136</v>
      </c>
      <c r="I23" s="108"/>
      <c r="J23" s="100"/>
    </row>
    <row r="24" spans="1:10" x14ac:dyDescent="0.3">
      <c r="A24" s="107">
        <v>6</v>
      </c>
      <c r="B24" s="98" t="s">
        <v>178</v>
      </c>
      <c r="C24" s="98" t="s">
        <v>179</v>
      </c>
      <c r="D24" s="102" t="s">
        <v>180</v>
      </c>
      <c r="E24" s="98" t="s">
        <v>116</v>
      </c>
      <c r="F24" s="98">
        <v>203.23</v>
      </c>
      <c r="G24" s="98" t="s">
        <v>181</v>
      </c>
      <c r="H24" s="98" t="s">
        <v>136</v>
      </c>
      <c r="I24" s="108"/>
      <c r="J24" s="100"/>
    </row>
    <row r="25" spans="1:10" x14ac:dyDescent="0.3">
      <c r="A25" s="107">
        <v>7</v>
      </c>
      <c r="B25" s="98" t="s">
        <v>51</v>
      </c>
      <c r="C25" s="98" t="s">
        <v>255</v>
      </c>
      <c r="D25" s="102" t="s">
        <v>182</v>
      </c>
      <c r="E25" s="98" t="s">
        <v>183</v>
      </c>
      <c r="F25" s="98">
        <v>146.13999999999999</v>
      </c>
      <c r="G25" s="98"/>
      <c r="H25" s="98" t="s">
        <v>136</v>
      </c>
      <c r="I25" s="108"/>
      <c r="J25" s="100"/>
    </row>
    <row r="26" spans="1:10" x14ac:dyDescent="0.3">
      <c r="A26" s="107">
        <v>8</v>
      </c>
      <c r="B26" s="98" t="s">
        <v>184</v>
      </c>
      <c r="C26" s="98" t="s">
        <v>184</v>
      </c>
      <c r="D26" s="102" t="s">
        <v>185</v>
      </c>
      <c r="E26" s="98" t="s">
        <v>186</v>
      </c>
      <c r="F26" s="98">
        <v>75.069999999999993</v>
      </c>
      <c r="G26" s="98" t="s">
        <v>181</v>
      </c>
      <c r="H26" s="98" t="s">
        <v>136</v>
      </c>
      <c r="I26" s="108"/>
      <c r="J26" s="100"/>
    </row>
    <row r="27" spans="1:10" x14ac:dyDescent="0.3">
      <c r="A27" s="107">
        <v>9</v>
      </c>
      <c r="B27" s="98" t="s">
        <v>187</v>
      </c>
      <c r="C27" s="98" t="s">
        <v>256</v>
      </c>
      <c r="D27" s="102" t="s">
        <v>188</v>
      </c>
      <c r="E27" s="98" t="s">
        <v>189</v>
      </c>
      <c r="F27" s="98">
        <v>155.15</v>
      </c>
      <c r="G27" s="98" t="s">
        <v>190</v>
      </c>
      <c r="H27" s="98" t="s">
        <v>136</v>
      </c>
      <c r="I27" s="108"/>
      <c r="J27" s="100"/>
    </row>
    <row r="28" spans="1:10" x14ac:dyDescent="0.3">
      <c r="A28" s="107">
        <v>10</v>
      </c>
      <c r="B28" s="98" t="s">
        <v>191</v>
      </c>
      <c r="C28" s="98" t="s">
        <v>192</v>
      </c>
      <c r="D28" s="102" t="s">
        <v>193</v>
      </c>
      <c r="E28" s="102" t="s">
        <v>194</v>
      </c>
      <c r="F28" s="98">
        <v>131.16999999999999</v>
      </c>
      <c r="G28" s="98"/>
      <c r="H28" s="98" t="s">
        <v>136</v>
      </c>
      <c r="I28" s="108"/>
      <c r="J28" s="100"/>
    </row>
    <row r="29" spans="1:10" x14ac:dyDescent="0.3">
      <c r="A29" s="107">
        <v>11</v>
      </c>
      <c r="B29" s="98" t="s">
        <v>195</v>
      </c>
      <c r="C29" s="98" t="s">
        <v>257</v>
      </c>
      <c r="D29" s="102" t="s">
        <v>196</v>
      </c>
      <c r="E29" s="102" t="s">
        <v>197</v>
      </c>
      <c r="F29" s="98">
        <v>131.16999999999999</v>
      </c>
      <c r="G29" s="98"/>
      <c r="H29" s="98" t="s">
        <v>136</v>
      </c>
      <c r="I29" s="108"/>
      <c r="J29" s="100"/>
    </row>
    <row r="30" spans="1:10" x14ac:dyDescent="0.3">
      <c r="A30" s="107">
        <v>12</v>
      </c>
      <c r="B30" s="98" t="s">
        <v>198</v>
      </c>
      <c r="C30" s="98" t="s">
        <v>258</v>
      </c>
      <c r="D30" s="98" t="s">
        <v>199</v>
      </c>
      <c r="E30" s="102" t="s">
        <v>200</v>
      </c>
      <c r="F30" s="98">
        <v>182.65</v>
      </c>
      <c r="G30" s="98"/>
      <c r="H30" s="98" t="s">
        <v>136</v>
      </c>
      <c r="I30" s="108"/>
      <c r="J30" s="100"/>
    </row>
    <row r="31" spans="1:10" x14ac:dyDescent="0.3">
      <c r="A31" s="107">
        <v>13</v>
      </c>
      <c r="B31" s="98" t="s">
        <v>201</v>
      </c>
      <c r="C31" s="98" t="s">
        <v>202</v>
      </c>
      <c r="D31" s="98" t="s">
        <v>203</v>
      </c>
      <c r="E31" s="98" t="s">
        <v>204</v>
      </c>
      <c r="F31" s="98">
        <v>149.21</v>
      </c>
      <c r="G31" s="98"/>
      <c r="H31" s="98" t="s">
        <v>136</v>
      </c>
      <c r="I31" s="108"/>
      <c r="J31" s="100"/>
    </row>
    <row r="32" spans="1:10" x14ac:dyDescent="0.3">
      <c r="A32" s="107">
        <v>14</v>
      </c>
      <c r="B32" s="98" t="s">
        <v>205</v>
      </c>
      <c r="C32" s="98" t="s">
        <v>206</v>
      </c>
      <c r="D32" s="98" t="s">
        <v>207</v>
      </c>
      <c r="E32" s="102" t="s">
        <v>208</v>
      </c>
      <c r="F32" s="98">
        <v>165.19</v>
      </c>
      <c r="G32" s="98"/>
      <c r="H32" s="98" t="s">
        <v>136</v>
      </c>
      <c r="I32" s="108"/>
      <c r="J32" s="100"/>
    </row>
    <row r="33" spans="1:10" x14ac:dyDescent="0.3">
      <c r="A33" s="107">
        <v>15</v>
      </c>
      <c r="B33" s="98" t="s">
        <v>209</v>
      </c>
      <c r="C33" s="98" t="s">
        <v>210</v>
      </c>
      <c r="D33" s="98" t="s">
        <v>211</v>
      </c>
      <c r="E33" s="102" t="s">
        <v>212</v>
      </c>
      <c r="F33" s="98">
        <v>115.13</v>
      </c>
      <c r="G33" s="98"/>
      <c r="H33" s="98" t="s">
        <v>136</v>
      </c>
      <c r="I33" s="108"/>
      <c r="J33" s="100"/>
    </row>
    <row r="34" spans="1:10" x14ac:dyDescent="0.3">
      <c r="A34" s="107">
        <v>16</v>
      </c>
      <c r="B34" s="98" t="s">
        <v>213</v>
      </c>
      <c r="C34" s="98" t="s">
        <v>214</v>
      </c>
      <c r="D34" s="98" t="s">
        <v>215</v>
      </c>
      <c r="E34" s="98" t="s">
        <v>216</v>
      </c>
      <c r="F34" s="98">
        <v>105.09</v>
      </c>
      <c r="G34" s="98"/>
      <c r="H34" s="98" t="s">
        <v>136</v>
      </c>
      <c r="I34" s="108"/>
      <c r="J34" s="100"/>
    </row>
    <row r="35" spans="1:10" x14ac:dyDescent="0.3">
      <c r="A35" s="107">
        <v>17</v>
      </c>
      <c r="B35" s="98" t="s">
        <v>217</v>
      </c>
      <c r="C35" s="98" t="s">
        <v>218</v>
      </c>
      <c r="D35" s="98" t="s">
        <v>219</v>
      </c>
      <c r="E35" s="98" t="s">
        <v>220</v>
      </c>
      <c r="F35" s="98">
        <v>119.12</v>
      </c>
      <c r="G35" s="98"/>
      <c r="H35" s="98" t="s">
        <v>136</v>
      </c>
      <c r="I35" s="108"/>
      <c r="J35" s="100"/>
    </row>
    <row r="36" spans="1:10" x14ac:dyDescent="0.3">
      <c r="A36" s="107">
        <v>18</v>
      </c>
      <c r="B36" s="98" t="s">
        <v>62</v>
      </c>
      <c r="C36" s="98" t="s">
        <v>221</v>
      </c>
      <c r="D36" s="98" t="s">
        <v>222</v>
      </c>
      <c r="E36" s="102" t="s">
        <v>223</v>
      </c>
      <c r="F36" s="98">
        <v>204.23</v>
      </c>
      <c r="G36" s="98"/>
      <c r="H36" s="98" t="s">
        <v>136</v>
      </c>
      <c r="I36" s="108"/>
      <c r="J36" s="100"/>
    </row>
    <row r="37" spans="1:10" ht="27" x14ac:dyDescent="0.3">
      <c r="A37" s="107">
        <v>19</v>
      </c>
      <c r="B37" s="98" t="s">
        <v>224</v>
      </c>
      <c r="C37" s="98" t="s">
        <v>225</v>
      </c>
      <c r="D37" s="102" t="s">
        <v>226</v>
      </c>
      <c r="E37" s="102" t="s">
        <v>227</v>
      </c>
      <c r="F37" s="98">
        <v>181.19</v>
      </c>
      <c r="G37" s="98"/>
      <c r="H37" s="98" t="s">
        <v>136</v>
      </c>
      <c r="I37" s="108"/>
      <c r="J37" s="100"/>
    </row>
    <row r="38" spans="1:10" x14ac:dyDescent="0.3">
      <c r="A38" s="107">
        <v>20</v>
      </c>
      <c r="B38" s="98" t="s">
        <v>228</v>
      </c>
      <c r="C38" s="98" t="s">
        <v>229</v>
      </c>
      <c r="D38" s="98" t="s">
        <v>230</v>
      </c>
      <c r="E38" s="102" t="s">
        <v>231</v>
      </c>
      <c r="F38" s="98">
        <v>117.15</v>
      </c>
      <c r="G38" s="98"/>
      <c r="H38" s="98" t="s">
        <v>136</v>
      </c>
      <c r="I38" s="108"/>
      <c r="J38" s="100"/>
    </row>
  </sheetData>
  <mergeCells count="1">
    <mergeCell ref="J10:J1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workbookViewId="0">
      <selection activeCell="B8" sqref="B8"/>
    </sheetView>
  </sheetViews>
  <sheetFormatPr defaultRowHeight="16.5" x14ac:dyDescent="0.3"/>
  <cols>
    <col min="2" max="2" width="28" bestFit="1" customWidth="1"/>
    <col min="3" max="3" width="13" bestFit="1" customWidth="1"/>
  </cols>
  <sheetData>
    <row r="2" spans="2:3" ht="17.25" x14ac:dyDescent="0.3">
      <c r="B2" s="143" t="s">
        <v>232</v>
      </c>
      <c r="C2" s="144"/>
    </row>
    <row r="3" spans="2:3" ht="17.25" x14ac:dyDescent="0.3">
      <c r="B3" s="109" t="s">
        <v>233</v>
      </c>
      <c r="C3" s="6" t="s">
        <v>234</v>
      </c>
    </row>
    <row r="4" spans="2:3" ht="17.25" x14ac:dyDescent="0.3">
      <c r="B4" s="109" t="s">
        <v>235</v>
      </c>
      <c r="C4" s="6" t="s">
        <v>254</v>
      </c>
    </row>
    <row r="5" spans="2:3" ht="17.25" x14ac:dyDescent="0.3">
      <c r="B5" s="109" t="s">
        <v>236</v>
      </c>
      <c r="C5" s="6" t="s">
        <v>237</v>
      </c>
    </row>
    <row r="6" spans="2:3" ht="17.25" x14ac:dyDescent="0.3">
      <c r="B6" s="109" t="s">
        <v>238</v>
      </c>
      <c r="C6" s="6" t="s">
        <v>239</v>
      </c>
    </row>
    <row r="7" spans="2:3" ht="17.25" x14ac:dyDescent="0.3">
      <c r="B7" s="109" t="s">
        <v>240</v>
      </c>
      <c r="C7" s="6" t="s">
        <v>241</v>
      </c>
    </row>
    <row r="8" spans="2:3" ht="17.25" x14ac:dyDescent="0.3">
      <c r="B8" s="109" t="s">
        <v>242</v>
      </c>
      <c r="C8" s="6" t="s">
        <v>243</v>
      </c>
    </row>
    <row r="9" spans="2:3" ht="17.25" x14ac:dyDescent="0.3">
      <c r="B9" s="48" t="s">
        <v>244</v>
      </c>
      <c r="C9" s="47" t="s">
        <v>245</v>
      </c>
    </row>
    <row r="11" spans="2:3" ht="17.25" x14ac:dyDescent="0.3">
      <c r="B11" s="110" t="s">
        <v>246</v>
      </c>
    </row>
  </sheetData>
  <mergeCells count="1">
    <mergeCell ref="B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6X reaction buffer composition</vt:lpstr>
      <vt:lpstr>Reagent information</vt:lpstr>
      <vt:lpstr>Cell-free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전은정</dc:creator>
  <cp:lastModifiedBy>오유경</cp:lastModifiedBy>
  <dcterms:created xsi:type="dcterms:W3CDTF">2025-03-11T04:47:08Z</dcterms:created>
  <dcterms:modified xsi:type="dcterms:W3CDTF">2026-03-19T09:13:47Z</dcterms:modified>
</cp:coreProperties>
</file>